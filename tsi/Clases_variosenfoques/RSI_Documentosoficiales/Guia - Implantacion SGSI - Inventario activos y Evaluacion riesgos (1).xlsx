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codeName="ThisWorkbook" defaultThemeVersion="124226"/>
  <mc:AlternateContent xmlns:mc="http://schemas.openxmlformats.org/markup-compatibility/2006">
    <mc:Choice Requires="x15">
      <x15ac:absPath xmlns:x15ac="http://schemas.microsoft.com/office/spreadsheetml/2010/11/ac" url="C:\Users\natalia.salazar\Documents\Planificación 2022\Subhome\Marco de ciberseguridad\Contenedor B\"/>
    </mc:Choice>
  </mc:AlternateContent>
  <xr:revisionPtr revIDLastSave="0" documentId="8_{F8A895C8-CE56-4DDA-96FE-EAA0679F5EB1}" xr6:coauthVersionLast="47" xr6:coauthVersionMax="47" xr10:uidLastSave="{00000000-0000-0000-0000-000000000000}"/>
  <bookViews>
    <workbookView xWindow="-120" yWindow="-120" windowWidth="20730" windowHeight="11160" tabRatio="859" activeTab="2" xr2:uid="{00000000-000D-0000-FFFF-FFFF00000000}"/>
  </bookViews>
  <sheets>
    <sheet name="Criterios" sheetId="8" r:id="rId1"/>
    <sheet name="Inventario de Activos" sheetId="12" r:id="rId2"/>
    <sheet name="Evaluación de Riesgos" sheetId="9" r:id="rId3"/>
    <sheet name="Plan Seguridad Información" sheetId="13" r:id="rId4"/>
    <sheet name="Indicadores" sheetId="14" r:id="rId5"/>
  </sheets>
  <definedNames>
    <definedName name="_xlnm._FilterDatabase" localSheetId="2" hidden="1">'Evaluación de Riesgos'!$A$1:$P$56</definedName>
    <definedName name="matriz_exposicion">Criterios!$A$13:$D$16</definedName>
    <definedName name="matriz_riesgos">Criterios!$A$20:$F$24</definedName>
  </definedNames>
  <calcPr calcId="191029"/>
  <customWorkbookViews>
    <customWorkbookView name="JF - Personal View" guid="{66836486-31B1-47E7-BEFB-352724A3846B}" mergeInterval="0" personalView="1" maximized="1" windowWidth="1436" windowHeight="731" tabRatio="859" activeSheetId="2"/>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6" i="9" l="1"/>
  <c r="F7" i="9"/>
  <c r="F8" i="9"/>
  <c r="F9" i="9"/>
  <c r="I9" i="9"/>
  <c r="F10" i="9"/>
  <c r="F11" i="9"/>
  <c r="F12" i="9"/>
  <c r="F13" i="9"/>
  <c r="I13" i="9"/>
  <c r="F14" i="9"/>
  <c r="F15" i="9"/>
  <c r="F18" i="9"/>
  <c r="F19" i="9"/>
  <c r="F20" i="9"/>
  <c r="F21" i="9"/>
  <c r="F22" i="9"/>
  <c r="F23" i="9"/>
  <c r="I23" i="9"/>
  <c r="F24" i="9"/>
  <c r="F16" i="9"/>
  <c r="F25" i="9"/>
  <c r="F26" i="9"/>
  <c r="I26" i="9"/>
  <c r="F27" i="9"/>
  <c r="F28" i="9"/>
  <c r="F29" i="9"/>
  <c r="F30" i="9"/>
  <c r="I30" i="9"/>
  <c r="F31" i="9"/>
  <c r="F32" i="9"/>
  <c r="F33" i="9"/>
  <c r="F34" i="9"/>
  <c r="I34" i="9"/>
  <c r="F36" i="9"/>
  <c r="F37" i="9"/>
  <c r="F38" i="9"/>
  <c r="F39" i="9"/>
  <c r="I39" i="9"/>
  <c r="F40" i="9"/>
  <c r="F41" i="9"/>
  <c r="F42" i="9"/>
  <c r="F43" i="9"/>
  <c r="I43" i="9"/>
  <c r="F44" i="9"/>
  <c r="F45" i="9"/>
  <c r="F46" i="9"/>
  <c r="F47" i="9"/>
  <c r="I47" i="9"/>
  <c r="F48" i="9"/>
  <c r="I48" i="9"/>
  <c r="F49" i="9"/>
  <c r="F56" i="9"/>
  <c r="F57" i="9"/>
  <c r="F58" i="9"/>
  <c r="I58" i="9"/>
  <c r="F59" i="9"/>
  <c r="I59" i="9"/>
  <c r="F60" i="9"/>
  <c r="I60" i="9"/>
  <c r="F61" i="9"/>
  <c r="F62" i="9"/>
  <c r="I62" i="9"/>
  <c r="F63" i="9"/>
  <c r="F64" i="9"/>
  <c r="I64" i="9"/>
  <c r="F65" i="9"/>
  <c r="F50" i="9"/>
  <c r="F51" i="9"/>
  <c r="F52" i="9"/>
  <c r="I52" i="9"/>
  <c r="F53" i="9"/>
  <c r="F54" i="9"/>
  <c r="F55" i="9"/>
  <c r="I55" i="9"/>
  <c r="F17" i="9"/>
  <c r="F35" i="9"/>
  <c r="F2" i="9"/>
  <c r="I2" i="9"/>
  <c r="F3" i="9"/>
  <c r="I3" i="9"/>
  <c r="F4" i="9"/>
  <c r="I4" i="9"/>
  <c r="I57" i="9"/>
  <c r="I61" i="9"/>
  <c r="I63" i="9"/>
  <c r="I65" i="9"/>
  <c r="F5" i="9"/>
  <c r="I5" i="9"/>
  <c r="N5" i="9"/>
  <c r="P5" i="9"/>
  <c r="N48" i="9"/>
  <c r="P48" i="9"/>
  <c r="I50" i="9"/>
  <c r="N50" i="9"/>
  <c r="P50" i="9"/>
  <c r="N52" i="9"/>
  <c r="P52" i="9"/>
  <c r="N2" i="9"/>
  <c r="P2" i="9"/>
  <c r="I14" i="9"/>
  <c r="N14" i="9"/>
  <c r="P14" i="9"/>
  <c r="I21" i="9"/>
  <c r="N21" i="9"/>
  <c r="P21" i="9"/>
  <c r="I27" i="9"/>
  <c r="N27" i="9"/>
  <c r="P27" i="9"/>
  <c r="I28" i="9"/>
  <c r="N28" i="9"/>
  <c r="P28" i="9"/>
  <c r="N34" i="9"/>
  <c r="P34" i="9"/>
  <c r="N39" i="9"/>
  <c r="P39" i="9"/>
  <c r="I49" i="9"/>
  <c r="N49" i="9"/>
  <c r="P49" i="9"/>
  <c r="I54" i="9"/>
  <c r="N54" i="9"/>
  <c r="P54" i="9"/>
  <c r="I6" i="9"/>
  <c r="N6" i="9"/>
  <c r="P6" i="9"/>
  <c r="N9" i="9"/>
  <c r="P9" i="9"/>
  <c r="N13" i="9"/>
  <c r="P13" i="9"/>
  <c r="I16" i="9"/>
  <c r="N16" i="9"/>
  <c r="P16" i="9"/>
  <c r="I22" i="9"/>
  <c r="N22" i="9"/>
  <c r="P22" i="9"/>
  <c r="I40" i="9"/>
  <c r="N40" i="9"/>
  <c r="P40" i="9"/>
  <c r="I42" i="9"/>
  <c r="N42" i="9"/>
  <c r="P42" i="9"/>
  <c r="I51" i="9"/>
  <c r="N51" i="9"/>
  <c r="P51" i="9"/>
  <c r="I53" i="9"/>
  <c r="N53" i="9"/>
  <c r="P53" i="9"/>
  <c r="N4" i="9"/>
  <c r="P4" i="9"/>
  <c r="I7" i="9"/>
  <c r="N7" i="9"/>
  <c r="P7" i="9"/>
  <c r="I8" i="9"/>
  <c r="N8" i="9"/>
  <c r="P8" i="9"/>
  <c r="I17" i="9"/>
  <c r="N17" i="9"/>
  <c r="P17" i="9"/>
  <c r="I18" i="9"/>
  <c r="N18" i="9"/>
  <c r="P18" i="9"/>
  <c r="I19" i="9"/>
  <c r="N19" i="9"/>
  <c r="P19" i="9"/>
  <c r="I20" i="9"/>
  <c r="N20" i="9"/>
  <c r="P20" i="9"/>
  <c r="N23" i="9"/>
  <c r="P23" i="9"/>
  <c r="I24" i="9"/>
  <c r="N24" i="9"/>
  <c r="P24" i="9"/>
  <c r="I25" i="9"/>
  <c r="N25" i="9"/>
  <c r="P25" i="9"/>
  <c r="N26" i="9"/>
  <c r="P26" i="9"/>
  <c r="I29" i="9"/>
  <c r="N29" i="9"/>
  <c r="P29" i="9"/>
  <c r="N30" i="9"/>
  <c r="P30" i="9"/>
  <c r="I31" i="9"/>
  <c r="N31" i="9"/>
  <c r="P31" i="9"/>
  <c r="I32" i="9"/>
  <c r="N32" i="9"/>
  <c r="P32" i="9"/>
  <c r="I36" i="9"/>
  <c r="N36" i="9"/>
  <c r="P36" i="9"/>
  <c r="I37" i="9"/>
  <c r="N37" i="9"/>
  <c r="P37" i="9"/>
  <c r="I38" i="9"/>
  <c r="N38" i="9"/>
  <c r="P38" i="9"/>
  <c r="I41" i="9"/>
  <c r="N41" i="9"/>
  <c r="P41" i="9"/>
  <c r="N43" i="9"/>
  <c r="P43" i="9"/>
  <c r="I44" i="9"/>
  <c r="N44" i="9"/>
  <c r="P44" i="9"/>
  <c r="I45" i="9"/>
  <c r="N45" i="9"/>
  <c r="P45" i="9"/>
  <c r="I46" i="9"/>
  <c r="N46" i="9"/>
  <c r="P46" i="9"/>
  <c r="N47" i="9"/>
  <c r="P47" i="9"/>
  <c r="N55" i="9"/>
  <c r="P55" i="9"/>
  <c r="I56" i="9"/>
  <c r="N56" i="9"/>
  <c r="P56" i="9"/>
  <c r="I10" i="9"/>
  <c r="N10" i="9"/>
  <c r="P10" i="9"/>
  <c r="N3" i="9"/>
  <c r="P3"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Fabiana</author>
  </authors>
  <commentList>
    <comment ref="A16" authorId="0" shapeId="0" xr:uid="{00000000-0006-0000-0200-000001000000}">
      <text>
        <r>
          <rPr>
            <b/>
            <sz val="9"/>
            <color indexed="81"/>
            <rFont val="Tahoma"/>
            <charset val="1"/>
          </rPr>
          <t>Fabiana:</t>
        </r>
        <r>
          <rPr>
            <sz val="9"/>
            <color indexed="81"/>
            <rFont val="Tahoma"/>
            <charset val="1"/>
          </rPr>
          <t xml:space="preserve">
Discos externos, pendrives, etc</t>
        </r>
      </text>
    </comment>
    <comment ref="A17" authorId="0" shapeId="0" xr:uid="{00000000-0006-0000-0200-000002000000}">
      <text>
        <r>
          <rPr>
            <b/>
            <sz val="9"/>
            <color indexed="81"/>
            <rFont val="Tahoma"/>
            <family val="2"/>
          </rPr>
          <t>Fabiana:</t>
        </r>
        <r>
          <rPr>
            <sz val="9"/>
            <color indexed="81"/>
            <rFont val="Tahoma"/>
            <family val="2"/>
          </rPr>
          <t xml:space="preserve">
Smatphone, tablets, notebooks</t>
        </r>
      </text>
    </comment>
    <comment ref="A25" authorId="0" shapeId="0" xr:uid="{00000000-0006-0000-0200-000003000000}">
      <text>
        <r>
          <rPr>
            <b/>
            <sz val="9"/>
            <color indexed="81"/>
            <rFont val="Tahoma"/>
            <family val="2"/>
          </rPr>
          <t>Fabiana:</t>
        </r>
        <r>
          <rPr>
            <sz val="9"/>
            <color indexed="81"/>
            <rFont val="Tahoma"/>
            <family val="2"/>
          </rPr>
          <t xml:space="preserve">
AA
Sensores
</t>
        </r>
      </text>
    </comment>
  </commentList>
</comments>
</file>

<file path=xl/sharedStrings.xml><?xml version="1.0" encoding="utf-8"?>
<sst xmlns="http://schemas.openxmlformats.org/spreadsheetml/2006/main" count="374" uniqueCount="199">
  <si>
    <t>Grupo</t>
  </si>
  <si>
    <t>Descripción</t>
  </si>
  <si>
    <t xml:space="preserve">METODOLOGIA DE ANALISIS DE RIESGOS </t>
  </si>
  <si>
    <t>CRITERIOS ESTABLECIDOS</t>
  </si>
  <si>
    <t>VALORACION DE ACTIVOS</t>
  </si>
  <si>
    <t>Confidencialidad</t>
  </si>
  <si>
    <t>Integridad</t>
  </si>
  <si>
    <t>Disponibilidad</t>
  </si>
  <si>
    <t>Bajo</t>
  </si>
  <si>
    <t>Refiere a información abierta, medios de procesamiento de información y recursos, información que esta libremente accesible por cualquiera. Por Ej. la información en el sitio Web de la empresa.</t>
  </si>
  <si>
    <t xml:space="preserve">Refiere a toda la información, medios de procesamiento de información y recursos donde la perdida de integridad no tiene influencia, o influencia negativa en los negocios de la empresa.
</t>
  </si>
  <si>
    <t>Medio</t>
  </si>
  <si>
    <t xml:space="preserve">Refiere a toda la información, medios y recursos que es de uso Interno. Esto implica  que el activo puede ser accesible por cualquier miembro de la empresa sin ninguna restricción, pero no debería ser accesible por cualquier otro externo. El impacto sobre la empresa seria medio.
</t>
  </si>
  <si>
    <t>Refiere a toda la información, medios, recursos, donde la integridad no es muy importante, pero debería ser mantenida. Para este activo, la perdida de integridad tiene cierta influencia menor en el negocio de la empresa.</t>
  </si>
  <si>
    <t>Medio-Alto</t>
  </si>
  <si>
    <t xml:space="preserve">Refiere a toda la información, medios, recursos, que este considerada de acceso restringido. Esto implica que el activo puede ser solamente accesible por miembros de la empresa, si son autorizados para eso. El impacto de que cualquiera no autorizado acceda a este activo seria notada y debería ser evitado.
</t>
  </si>
  <si>
    <t>Refiere a toda la información, medios, recursos, donde la integridad es importante y debería ser mantenida. Para este activo la perdida de integridad tiene influencia notable en el negocio y se debería evitar.</t>
  </si>
  <si>
    <t>Alto</t>
  </si>
  <si>
    <t xml:space="preserve">Refiere a toda la información, medios, recursos, que este considerado como confidencial. Este activo debería ser solamente accesible con una autorización explicita. El impacto seria serio y debería ser evitado en todas las circunstancias.
</t>
  </si>
  <si>
    <t xml:space="preserve">Refiere a toda la información, medios, recursos, donde la integridad es muy importante y debería ser mantenida bajo todas las circunstancias. Para este activo, la perdida de integridad  tiene una importante influencia negativa en el negocio, y se debería evitar. </t>
  </si>
  <si>
    <t>MATRIZ - GRADO DE EXPOSICION</t>
  </si>
  <si>
    <t>Baja</t>
  </si>
  <si>
    <t>Media</t>
  </si>
  <si>
    <t>Alta</t>
  </si>
  <si>
    <t>MATRIZ DE RIESGOS</t>
  </si>
  <si>
    <t>Muy baja</t>
  </si>
  <si>
    <t>Muy Alta</t>
  </si>
  <si>
    <t>NIVELES - DESCRIPCION DE RIESGOS</t>
  </si>
  <si>
    <t>Insignificante</t>
  </si>
  <si>
    <t>Tienen un impacto muy bajo en las operaciones del negocio. No requieren ninguna acción.</t>
  </si>
  <si>
    <t>Trivial</t>
  </si>
  <si>
    <t>Tienen un impacto bajo en las operaciones del negocio. No requieren ninguna acción.</t>
  </si>
  <si>
    <t>Menor</t>
  </si>
  <si>
    <t>Tiene efectos menores en el negocio. No requieren ninguna acción.</t>
  </si>
  <si>
    <t>Poco Significativo</t>
  </si>
  <si>
    <t>Tendrían algún efecto negativo en el negocio. Estos riesgos son considerados aceptables. Acciones podrían ser tomadas, pero no se considera necesario.</t>
  </si>
  <si>
    <t>Significativo</t>
  </si>
  <si>
    <t xml:space="preserve">Tendrían efecto negativos en el negocio. Se deberia considerar caso por caso si el riesgo debe ser reducido </t>
  </si>
  <si>
    <t>Importante</t>
  </si>
  <si>
    <t>Tendrían serios efectos negativos en el negocio. Estos riesgos deberían ser reducidos o tratados de alguna forma para ser más aceptables.</t>
  </si>
  <si>
    <t>Mayor</t>
  </si>
  <si>
    <t>Tendrían efectos negativos mayores en el negocio, y deberían ser reducidos en todas las circunstancias. Estos riesgos necesitan ser reducidos o tratadas de alguna forma para ser mas aceptables.</t>
  </si>
  <si>
    <t>Catastrófico</t>
  </si>
  <si>
    <t>Tendrían efectos desastrosos en el negocio, y deberían ser reducidos en todas las circunstancias. Es importante que estos riesgos sean reducidos o tratados de otra forma para asegurar que no ocurran.</t>
  </si>
  <si>
    <t>Vulnerabilidades</t>
  </si>
  <si>
    <t>Exp.</t>
  </si>
  <si>
    <t>Impacto</t>
  </si>
  <si>
    <t>Tratamiento</t>
  </si>
  <si>
    <t xml:space="preserve"> Controles</t>
  </si>
  <si>
    <t>Nueva Prob.</t>
  </si>
  <si>
    <t>Nuevo Nivel Vul.</t>
  </si>
  <si>
    <t>Nuevo Exp.</t>
  </si>
  <si>
    <t>Nuevo Impacto</t>
  </si>
  <si>
    <t>Riesgo Residual</t>
  </si>
  <si>
    <t>ACTIVOS DE INFORMACION IDENTIFICADOS</t>
  </si>
  <si>
    <t>Activo</t>
  </si>
  <si>
    <t>Tipo</t>
  </si>
  <si>
    <t>Ubicación</t>
  </si>
  <si>
    <t>Clasificación</t>
  </si>
  <si>
    <t>Disp.</t>
  </si>
  <si>
    <t>Int.</t>
  </si>
  <si>
    <t>Conf.</t>
  </si>
  <si>
    <t>No aplica</t>
  </si>
  <si>
    <t>Otros Equipos</t>
  </si>
  <si>
    <t>Columna1</t>
  </si>
  <si>
    <t>Nombre del Proceso/Subproceso:</t>
  </si>
  <si>
    <t>Soporte</t>
  </si>
  <si>
    <t>Organismo/UE:</t>
  </si>
  <si>
    <r>
      <t xml:space="preserve">Refiere a toda la información, medios de procesamiento de información y recursos donde la disponibilidad no es critica y es suficiente para este activo el estar disponible dentro de </t>
    </r>
    <r>
      <rPr>
        <b/>
        <sz val="8"/>
        <rFont val="Arial"/>
        <family val="2"/>
      </rPr>
      <t>1 semana o mas</t>
    </r>
    <r>
      <rPr>
        <sz val="8"/>
        <rFont val="Arial"/>
        <family val="2"/>
      </rPr>
      <t xml:space="preserve">
</t>
    </r>
  </si>
  <si>
    <r>
      <t xml:space="preserve">Refiere a toda la información, medios, recursos, que deberían estar disponibles dentro de </t>
    </r>
    <r>
      <rPr>
        <b/>
        <sz val="8"/>
        <rFont val="Arial"/>
        <family val="2"/>
      </rPr>
      <t>un día</t>
    </r>
    <r>
      <rPr>
        <sz val="8"/>
        <rFont val="Arial"/>
        <family val="2"/>
      </rPr>
      <t>, y la no disponibilidad del activo ocasionaría un impacto menor al negocio.</t>
    </r>
  </si>
  <si>
    <r>
      <t xml:space="preserve">Refiere a toda la información, medios, recursos, que deberían estar disponibles dentro </t>
    </r>
    <r>
      <rPr>
        <b/>
        <sz val="8"/>
        <rFont val="Arial"/>
        <family val="2"/>
      </rPr>
      <t>de algunas horas</t>
    </r>
    <r>
      <rPr>
        <sz val="8"/>
        <rFont val="Arial"/>
        <family val="2"/>
      </rPr>
      <t>, y su no disponibilidad ocasionará un impacto notable para el  negocio.</t>
    </r>
  </si>
  <si>
    <r>
      <t xml:space="preserve">Refiere a toda la información, medios, recursos, que deberían estar disponibles </t>
    </r>
    <r>
      <rPr>
        <b/>
        <sz val="8"/>
        <rFont val="Arial"/>
        <family val="2"/>
      </rPr>
      <t>en todo momento</t>
    </r>
    <r>
      <rPr>
        <sz val="8"/>
        <rFont val="Arial"/>
        <family val="2"/>
      </rPr>
      <t>, y su no disponibilidad ocasionaría un impacto importante para el negocio.</t>
    </r>
  </si>
  <si>
    <t>Exposición -&gt; 
Impacto</t>
  </si>
  <si>
    <t>VALORACION DE LOS ACTIVOS</t>
  </si>
  <si>
    <t xml:space="preserve">Bases de datos </t>
  </si>
  <si>
    <t xml:space="preserve">Comunicaciones </t>
  </si>
  <si>
    <t>Digital</t>
  </si>
  <si>
    <t>Equipos de oficina</t>
  </si>
  <si>
    <t xml:space="preserve">Impreso </t>
  </si>
  <si>
    <t>Personas</t>
  </si>
  <si>
    <t>Servicios</t>
  </si>
  <si>
    <t xml:space="preserve">Servidores </t>
  </si>
  <si>
    <t>Software</t>
  </si>
  <si>
    <t>No hay control sobre el otorgamiento de permisos a las base de datos de producción.</t>
  </si>
  <si>
    <t>Físico: las bases de datos están en datacenter con control de acceso
Contratos de confidencialidad</t>
  </si>
  <si>
    <t>Las bases de datos con datos personales han sido registradas.</t>
  </si>
  <si>
    <t>Base de datos</t>
  </si>
  <si>
    <t>Registro de proveedores</t>
  </si>
  <si>
    <t>Responsable</t>
  </si>
  <si>
    <t>Producto esperado</t>
  </si>
  <si>
    <t>Responsable del producto</t>
  </si>
  <si>
    <t>Actividad</t>
  </si>
  <si>
    <t>Fecha de inicio</t>
  </si>
  <si>
    <t>Responsable de la actividad</t>
  </si>
  <si>
    <t>PROGRAMA DE TRABAJO</t>
  </si>
  <si>
    <t>&lt;Producto&gt;</t>
  </si>
  <si>
    <t xml:space="preserve">      &lt;Actividad&gt;</t>
  </si>
  <si>
    <t>Nombre del indicador</t>
  </si>
  <si>
    <t>Fórmula de cálculo</t>
  </si>
  <si>
    <t>Fecha de inicio de la medicion</t>
  </si>
  <si>
    <t>Frecuencia de la medición</t>
  </si>
  <si>
    <t>Meta</t>
  </si>
  <si>
    <t>Medios de verificación</t>
  </si>
  <si>
    <t>Observaciones</t>
  </si>
  <si>
    <t>Costos</t>
  </si>
  <si>
    <t>Recursos humanos y materiales</t>
  </si>
  <si>
    <t>Producto asociado</t>
  </si>
  <si>
    <t>Fecha de fin</t>
  </si>
  <si>
    <t>Controles actuales</t>
  </si>
  <si>
    <t>Sitio web</t>
  </si>
  <si>
    <t>Dispositivos de almacenamiento externo</t>
  </si>
  <si>
    <t>Dispositivos móviles</t>
  </si>
  <si>
    <t>Respaldos</t>
  </si>
  <si>
    <t>Riesgo residual actual</t>
  </si>
  <si>
    <t>Prob de Amenaza -&gt;
Nivel de Vulnerabilidad</t>
  </si>
  <si>
    <t>Prob Amenaza</t>
  </si>
  <si>
    <t>Nivel Vulnera</t>
  </si>
  <si>
    <t xml:space="preserve">Acceso no autorizado </t>
  </si>
  <si>
    <t xml:space="preserve">DoS </t>
  </si>
  <si>
    <t xml:space="preserve">Lectura no autorizada </t>
  </si>
  <si>
    <t>No existencia de contrato o contrato desactualizado SLA</t>
  </si>
  <si>
    <t xml:space="preserve">Configuración incorrecta </t>
  </si>
  <si>
    <t xml:space="preserve">Plataforma de pagos </t>
  </si>
  <si>
    <t xml:space="preserve">Modificacion del sitio </t>
  </si>
  <si>
    <t xml:space="preserve">Uso del sitio como plataforma de base para otros ataques </t>
  </si>
  <si>
    <t>Amenaza</t>
  </si>
  <si>
    <r>
      <rPr>
        <b/>
        <sz val="10"/>
        <rFont val="Calibri"/>
        <family val="2"/>
      </rPr>
      <t>Acceso no autorizado</t>
    </r>
    <r>
      <rPr>
        <sz val="10"/>
        <rFont val="Calibri"/>
        <family val="2"/>
      </rPr>
      <t xml:space="preserve">
* Usuario interno o externo que logra ingresar a un sistema o área restringida.
* Esta amenaza puede ser lógica o física.</t>
    </r>
  </si>
  <si>
    <r>
      <rPr>
        <b/>
        <sz val="10"/>
        <rFont val="Calibri"/>
        <family val="2"/>
      </rPr>
      <t>Incumplimiento de requisitos legales, regulatorios o contractuales</t>
    </r>
    <r>
      <rPr>
        <sz val="10"/>
        <rFont val="Calibri"/>
        <family val="2"/>
      </rPr>
      <t xml:space="preserve"> 
* Software, Hardware, servicios o personas que estén incumpliendo de alguna manera requisitos legales, regulatorios o contractuales establecidos en la empresa.</t>
    </r>
  </si>
  <si>
    <r>
      <rPr>
        <b/>
        <sz val="10"/>
        <rFont val="Calibri"/>
        <family val="2"/>
      </rPr>
      <t xml:space="preserve">Modificación o Destrucción no autorizada </t>
    </r>
    <r>
      <rPr>
        <sz val="10"/>
        <rFont val="Calibri"/>
        <family val="2"/>
      </rPr>
      <t xml:space="preserve">
* Aplica para HW, información o impresos (soporte físico o digital). 
* Implica dar de baja algún equipo o documentación sin previa autorización. 
*También abarca eliminación no autorizada de información.</t>
    </r>
  </si>
  <si>
    <r>
      <rPr>
        <b/>
        <sz val="10"/>
        <rFont val="Calibri"/>
        <family val="2"/>
      </rPr>
      <t>Acceso no autorizado</t>
    </r>
    <r>
      <rPr>
        <sz val="10"/>
        <rFont val="Calibri"/>
        <family val="2"/>
      </rPr>
      <t xml:space="preserve"> 
* Usuario interno o externo que logra ingresar a un sistema o área restringida.
* Esta amenaza puede ser lógica o física.</t>
    </r>
  </si>
  <si>
    <r>
      <rPr>
        <b/>
        <sz val="10"/>
        <rFont val="Calibri"/>
        <family val="2"/>
      </rPr>
      <t>Fuego (factores ambientales)</t>
    </r>
    <r>
      <rPr>
        <sz val="10"/>
        <rFont val="Calibri"/>
        <family val="2"/>
      </rPr>
      <t xml:space="preserve"> 
* Focos de Fuego localizados</t>
    </r>
  </si>
  <si>
    <r>
      <rPr>
        <b/>
        <sz val="10"/>
        <rFont val="Calibri"/>
        <family val="2"/>
      </rPr>
      <t>Retiro no autorizado</t>
    </r>
    <r>
      <rPr>
        <sz val="10"/>
        <rFont val="Calibri"/>
        <family val="2"/>
      </rPr>
      <t xml:space="preserve">
* Retiro de Hardware de la empresa sin autorización.
* Retiro de Software de la empresa sin autorización.
* Retiro de información  de la empresa sin autorización.</t>
    </r>
  </si>
  <si>
    <r>
      <rPr>
        <b/>
        <sz val="10"/>
        <rFont val="Calibri"/>
        <family val="2"/>
      </rPr>
      <t>Robo</t>
    </r>
    <r>
      <rPr>
        <sz val="10"/>
        <rFont val="Calibri"/>
        <family val="2"/>
      </rPr>
      <t xml:space="preserve"> 
* Robo de Hardware de la empresa.
* Robo de Software de la empresa.
* Robo de información  de la empresa.</t>
    </r>
  </si>
  <si>
    <r>
      <rPr>
        <b/>
        <sz val="10"/>
        <rFont val="Calibri"/>
        <family val="2"/>
      </rPr>
      <t>Falla de los equipos</t>
    </r>
    <r>
      <rPr>
        <sz val="10"/>
        <rFont val="Calibri"/>
        <family val="2"/>
      </rPr>
      <t xml:space="preserve"> </t>
    </r>
  </si>
  <si>
    <r>
      <rPr>
        <b/>
        <sz val="10"/>
        <rFont val="Calibri"/>
        <family val="2"/>
      </rPr>
      <t xml:space="preserve">Intercepción de información </t>
    </r>
    <r>
      <rPr>
        <sz val="10"/>
        <rFont val="Calibri"/>
        <family val="2"/>
      </rPr>
      <t xml:space="preserve">
* Usuario externo o interno a la empresa, que logra interceptar información que no debería recibir. 
* Ej., leer mails de otro usuario o capturar paquetes mediante técnicas de sniffing. Por lo tanto esta amenaza solo aplica a información o datos. </t>
    </r>
  </si>
  <si>
    <r>
      <rPr>
        <b/>
        <sz val="10"/>
        <rFont val="Calibri"/>
        <family val="2"/>
      </rPr>
      <t>Divulgación o Transmisión no autorizada</t>
    </r>
    <r>
      <rPr>
        <sz val="10"/>
        <rFont val="Calibri"/>
        <family val="2"/>
      </rPr>
      <t xml:space="preserve"> 
* Destrucción inadecuada de medios
* Notificación incorrectas
* Mesas con expedientes
* Por medio de fax, mails o entrega incorrecta de info al usuario</t>
    </r>
  </si>
  <si>
    <r>
      <rPr>
        <b/>
        <sz val="10"/>
        <rFont val="Calibri"/>
        <family val="2"/>
      </rPr>
      <t>Modificación o Destrucción no autorizada</t>
    </r>
    <r>
      <rPr>
        <sz val="10"/>
        <rFont val="Calibri"/>
        <family val="2"/>
      </rPr>
      <t xml:space="preserve"> 
* Aplica para HW, información o impresos (soporte físico o digital). 
* Implica dar de baja algún equipo o documentación sin previa autorización. 
*También abarca eliminación no autorizada de información.</t>
    </r>
  </si>
  <si>
    <r>
      <rPr>
        <b/>
        <sz val="10"/>
        <rFont val="Calibri"/>
        <family val="2"/>
      </rPr>
      <t>Fuego</t>
    </r>
    <r>
      <rPr>
        <sz val="10"/>
        <rFont val="Calibri"/>
        <family val="2"/>
      </rPr>
      <t xml:space="preserve"> 
* Focos de Fuego localizados</t>
    </r>
  </si>
  <si>
    <r>
      <rPr>
        <b/>
        <sz val="10"/>
        <rFont val="Calibri"/>
        <family val="2"/>
      </rPr>
      <t>Mal uso de los equipos</t>
    </r>
    <r>
      <rPr>
        <sz val="10"/>
        <rFont val="Calibri"/>
        <family val="2"/>
      </rPr>
      <t xml:space="preserve"> 
* Uso inadecuado de los equipos, por falta de conocimiento o deliberado.</t>
    </r>
  </si>
  <si>
    <r>
      <rPr>
        <b/>
        <sz val="10"/>
        <rFont val="Calibri"/>
        <family val="2"/>
      </rPr>
      <t>Retiro no autorizado</t>
    </r>
    <r>
      <rPr>
        <sz val="10"/>
        <rFont val="Calibri"/>
        <family val="2"/>
      </rPr>
      <t xml:space="preserve"> 
* Retiro de Hardware de la empresa sin autorización.
* Retiro de Software de la empresa sin autorización.
* Retiro de información  de la empresa sin autorización.</t>
    </r>
  </si>
  <si>
    <r>
      <rPr>
        <b/>
        <sz val="10"/>
        <rFont val="Calibri"/>
        <family val="2"/>
      </rPr>
      <t>Contaminación ambiental</t>
    </r>
    <r>
      <rPr>
        <sz val="10"/>
        <rFont val="Calibri"/>
        <family val="2"/>
      </rPr>
      <t xml:space="preserve"> 
* Presencia de polvo
* Suciedad 
* Algún elemento tóxico. 
* Plagas
* Ruido Excesivo
* Inadecuada temperatura (calor, frio).</t>
    </r>
  </si>
  <si>
    <r>
      <rPr>
        <b/>
        <sz val="10"/>
        <rFont val="Calibri"/>
        <family val="2"/>
      </rPr>
      <t>Falla de los equipos</t>
    </r>
    <r>
      <rPr>
        <sz val="10"/>
        <rFont val="Calibri"/>
        <family val="2"/>
      </rPr>
      <t xml:space="preserve"> 
* Falla en algún componente de Hardware que afecte la Confidencialidad, Integridad o Disponibilidad de los activos.</t>
    </r>
  </si>
  <si>
    <r>
      <rPr>
        <b/>
        <sz val="10"/>
        <rFont val="Calibri"/>
        <family val="2"/>
      </rPr>
      <t>Abuso de Funciones y Permisos</t>
    </r>
    <r>
      <rPr>
        <sz val="10"/>
        <rFont val="Calibri"/>
        <family val="2"/>
      </rPr>
      <t xml:space="preserve"> 
* Usuario con permisos de ingreso a un sistema / área, excede estos permisos.
* Se utiliza el usuario y los privilegios que se desprenden de él para una acción que no corresponde. 
* Algunos: tanto a nivel funcional como informático.</t>
    </r>
  </si>
  <si>
    <r>
      <rPr>
        <b/>
        <sz val="10"/>
        <rFont val="Calibri"/>
        <family val="2"/>
      </rPr>
      <t>Desastre</t>
    </r>
    <r>
      <rPr>
        <sz val="10"/>
        <rFont val="Calibri"/>
        <family val="2"/>
      </rPr>
      <t xml:space="preserve"> 
* Inundación
* Temporal
* Incendio
* Derrumbe </t>
    </r>
  </si>
  <si>
    <r>
      <rPr>
        <b/>
        <sz val="10"/>
        <rFont val="Calibri"/>
        <family val="2"/>
      </rPr>
      <t>Imposibilidad de cumplir tareas claves</t>
    </r>
    <r>
      <rPr>
        <sz val="10"/>
        <rFont val="Calibri"/>
        <family val="2"/>
      </rPr>
      <t xml:space="preserve"> 
* No se cuenta con la cantidad de personal requerido para realizar las tareas estipuladas de forma adecuada.</t>
    </r>
  </si>
  <si>
    <r>
      <rPr>
        <b/>
        <sz val="10"/>
        <rFont val="Calibri"/>
        <family val="2"/>
      </rPr>
      <t>Ingeniería Social</t>
    </r>
    <r>
      <rPr>
        <sz val="10"/>
        <rFont val="Calibri"/>
        <family val="2"/>
      </rPr>
      <t xml:space="preserve"> 
Prácticas o artimañas, ideadas por los delincuentes, para acceder a equipos ajenos, utilizando a los usuarios legítimos:
* Suplantación de identidad
* Mensajes de correo electrónico engañosos</t>
    </r>
  </si>
  <si>
    <r>
      <rPr>
        <b/>
        <sz val="10"/>
        <rFont val="Calibri"/>
        <family val="2"/>
      </rPr>
      <t>Falta de entrenamiento en aspectos vinculados a la seguridad de la información</t>
    </r>
    <r>
      <rPr>
        <sz val="10"/>
        <rFont val="Calibri"/>
        <family val="2"/>
      </rPr>
      <t xml:space="preserve"> 
* Desconocimiento de las buenas prácticas en seguridad de la información</t>
    </r>
  </si>
  <si>
    <r>
      <rPr>
        <b/>
        <sz val="10"/>
        <rFont val="Calibri"/>
        <family val="2"/>
      </rPr>
      <t>La alta dirección no comprende la importancia de la seguridad de la información para el organismo</t>
    </r>
    <r>
      <rPr>
        <sz val="10"/>
        <rFont val="Calibri"/>
        <family val="2"/>
      </rPr>
      <t xml:space="preserve"> 
* Falta de compromiso con el desarrollo de la estrategia y actividades vinculadas para el mejoramiento de la seguridad de la información</t>
    </r>
  </si>
  <si>
    <r>
      <rPr>
        <b/>
        <sz val="10"/>
        <rFont val="Calibri"/>
        <family val="2"/>
      </rPr>
      <t>Falla del proveedor de servicios</t>
    </r>
    <r>
      <rPr>
        <sz val="10"/>
        <rFont val="Calibri"/>
        <family val="2"/>
      </rPr>
      <t xml:space="preserve"> 
* Falla de proveedor de Electricidad
* Falla de proveedor de Acceso a Internet
* Falla de proveedor de Telefonía</t>
    </r>
  </si>
  <si>
    <r>
      <rPr>
        <b/>
        <sz val="10"/>
        <rFont val="Calibri"/>
        <family val="2"/>
      </rPr>
      <t>Acceso no autorizado</t>
    </r>
    <r>
      <rPr>
        <sz val="10"/>
        <rFont val="Calibri"/>
        <family val="2"/>
      </rPr>
      <t xml:space="preserve"> 
* Usuario interno o externo que logra ingresar a un sistema o área restringida.
* Esta amenaza puede ser lógica o física.* Incluye vandalismo</t>
    </r>
  </si>
  <si>
    <r>
      <rPr>
        <b/>
        <sz val="10"/>
        <rFont val="Calibri"/>
        <family val="2"/>
      </rPr>
      <t>Daño por Agua</t>
    </r>
    <r>
      <rPr>
        <sz val="10"/>
        <rFont val="Calibri"/>
        <family val="2"/>
      </rPr>
      <t xml:space="preserve"> 
* Filtraciones, goteras, rupturas en cañerías.</t>
    </r>
  </si>
  <si>
    <r>
      <rPr>
        <b/>
        <sz val="10"/>
        <rFont val="Calibri"/>
        <family val="2"/>
      </rPr>
      <t>Derrumbe</t>
    </r>
    <r>
      <rPr>
        <sz val="10"/>
        <rFont val="Calibri"/>
        <family val="2"/>
      </rPr>
      <t xml:space="preserve"> 
* Cualquier siniestro que inutilice el datacenter o una parte significativa del mismo por tiempo relativamente prolongado</t>
    </r>
  </si>
  <si>
    <r>
      <rPr>
        <b/>
        <sz val="10"/>
        <rFont val="Calibri"/>
        <family val="2"/>
      </rPr>
      <t>Errores accidentales</t>
    </r>
    <r>
      <rPr>
        <sz val="10"/>
        <rFont val="Calibri"/>
        <family val="2"/>
      </rPr>
      <t xml:space="preserve"> 
* Errores de Configuración de Equipos
* Errores de Programación
* Errores de Ingreso de parámetros
* Borrado accidental
* Modificación accidental
* Destrucción accidental
* Traspapelado de expedientes.</t>
    </r>
  </si>
  <si>
    <r>
      <rPr>
        <b/>
        <sz val="10"/>
        <rFont val="Calibri"/>
        <family val="2"/>
      </rPr>
      <t>Falla de los equipos</t>
    </r>
    <r>
      <rPr>
        <sz val="10"/>
        <rFont val="Calibri"/>
        <family val="2"/>
      </rPr>
      <t xml:space="preserve"> 
* Fallas en los servidores, Hardware y Software</t>
    </r>
  </si>
  <si>
    <r>
      <rPr>
        <b/>
        <sz val="10"/>
        <rFont val="Calibri"/>
        <family val="2"/>
      </rPr>
      <t>Falla del proveedor</t>
    </r>
    <r>
      <rPr>
        <sz val="10"/>
        <rFont val="Calibri"/>
        <family val="2"/>
      </rPr>
      <t xml:space="preserve"> 
* Falla de proveedor de Electricidad
* Falla de proveedor de Acceso a Internet
* Falla de proveedor de Telefonía
* Falla de proveedor de Aire Acondicionado</t>
    </r>
  </si>
  <si>
    <r>
      <rPr>
        <b/>
        <sz val="10"/>
        <rFont val="Calibri"/>
        <family val="2"/>
      </rPr>
      <t xml:space="preserve">Fallas por ausencia de mantenimiento </t>
    </r>
    <r>
      <rPr>
        <sz val="10"/>
        <rFont val="Calibri"/>
        <family val="2"/>
      </rPr>
      <t xml:space="preserve">
* No se cuenta con un servicio de mantenimiento.</t>
    </r>
  </si>
  <si>
    <r>
      <rPr>
        <b/>
        <sz val="10"/>
        <rFont val="Calibri"/>
        <family val="2"/>
      </rPr>
      <t>Ataque por código malicioso (Virus, Troyano, etc.)</t>
    </r>
    <r>
      <rPr>
        <sz val="10"/>
        <rFont val="Calibri"/>
        <family val="2"/>
      </rPr>
      <t xml:space="preserve"> 
* Ingreso de virus por medio de: 
- medios ópticos,
- medios removibles
- e-mail
- descarga de aplicaciones inseguras
- navegación en Internet</t>
    </r>
  </si>
  <si>
    <r>
      <rPr>
        <b/>
        <sz val="10"/>
        <rFont val="Calibri"/>
        <family val="2"/>
      </rPr>
      <t>Ausencia de mantenimiento ante nuevos requerimientos</t>
    </r>
    <r>
      <rPr>
        <sz val="10"/>
        <rFont val="Calibri"/>
        <family val="2"/>
      </rPr>
      <t xml:space="preserve"> 
* No se cuenta con un servicio de mantenimiento.(Usuarios)</t>
    </r>
  </si>
  <si>
    <r>
      <rPr>
        <b/>
        <sz val="10"/>
        <rFont val="Calibri"/>
        <family val="2"/>
      </rPr>
      <t xml:space="preserve">Ausencia de mantenimiento ante nuevos requerimientos </t>
    </r>
    <r>
      <rPr>
        <sz val="10"/>
        <rFont val="Calibri"/>
        <family val="2"/>
      </rPr>
      <t xml:space="preserve">
* No se cuenta con un servicio de mantenimiento.(Sistemas)</t>
    </r>
  </si>
  <si>
    <r>
      <rPr>
        <b/>
        <sz val="10"/>
        <rFont val="Calibri"/>
        <family val="2"/>
      </rPr>
      <t>El software es complejo de operar</t>
    </r>
    <r>
      <rPr>
        <sz val="10"/>
        <rFont val="Calibri"/>
        <family val="2"/>
      </rPr>
      <t xml:space="preserve"> 
* La operación  del software es compleja lo que ocasiona errores (Usuarios)</t>
    </r>
  </si>
  <si>
    <r>
      <rPr>
        <b/>
        <sz val="10"/>
        <rFont val="Calibri"/>
        <family val="2"/>
      </rPr>
      <t>El software es complejo de operar</t>
    </r>
    <r>
      <rPr>
        <sz val="10"/>
        <rFont val="Calibri"/>
        <family val="2"/>
      </rPr>
      <t xml:space="preserve"> 
* La operación  del software es compleja lo que ocasiona errores (Sistemas)</t>
    </r>
  </si>
  <si>
    <r>
      <rPr>
        <b/>
        <sz val="10"/>
        <rFont val="Calibri"/>
        <family val="2"/>
      </rPr>
      <t xml:space="preserve">Errores de procesamiento </t>
    </r>
    <r>
      <rPr>
        <sz val="10"/>
        <rFont val="Calibri"/>
        <family val="2"/>
      </rPr>
      <t xml:space="preserve">
* El sistema genera salidas erroneas por problemas de programación (Sistemas)</t>
    </r>
  </si>
  <si>
    <r>
      <rPr>
        <b/>
        <sz val="10"/>
        <rFont val="Calibri"/>
        <family val="2"/>
      </rPr>
      <t xml:space="preserve">Errores de procesamiento </t>
    </r>
    <r>
      <rPr>
        <sz val="10"/>
        <rFont val="Calibri"/>
        <family val="2"/>
      </rPr>
      <t xml:space="preserve">
* El sistema genera salidas erroneas por problemas de programación (Usuarios)</t>
    </r>
  </si>
  <si>
    <r>
      <rPr>
        <b/>
        <sz val="10"/>
        <rFont val="Calibri"/>
        <family val="2"/>
      </rPr>
      <t xml:space="preserve">Instalación no autorizada o cambios al software </t>
    </r>
    <r>
      <rPr>
        <sz val="10"/>
        <rFont val="Calibri"/>
        <family val="2"/>
      </rPr>
      <t xml:space="preserve">
* Cambio (de tipo SW, HW o infraestructura) por personal no autorizado o sin previa autorización del superior. </t>
    </r>
  </si>
  <si>
    <r>
      <rPr>
        <b/>
        <sz val="10"/>
        <rFont val="Calibri"/>
        <family val="2"/>
      </rPr>
      <t xml:space="preserve">Caida del sitio web </t>
    </r>
    <r>
      <rPr>
        <sz val="10"/>
        <rFont val="Calibri"/>
        <family val="2"/>
      </rPr>
      <t xml:space="preserve">
* Ataque de negacion de sevicio (DoS) o cualquier otro proceso o mecanismo que deje indisponible el trámite</t>
    </r>
  </si>
  <si>
    <r>
      <rPr>
        <b/>
        <sz val="10"/>
        <rFont val="Calibri"/>
        <family val="2"/>
      </rPr>
      <t>Robo de información</t>
    </r>
    <r>
      <rPr>
        <sz val="10"/>
        <rFont val="Calibri"/>
        <family val="2"/>
      </rPr>
      <t xml:space="preserve"> 
* Acceso de no autorizado a información 
* Obtención de información de pagos</t>
    </r>
  </si>
  <si>
    <r>
      <rPr>
        <b/>
        <sz val="10"/>
        <rFont val="Calibri"/>
        <family val="2"/>
      </rPr>
      <t>Divulgación de información sensible</t>
    </r>
    <r>
      <rPr>
        <sz val="10"/>
        <rFont val="Calibri"/>
        <family val="2"/>
      </rPr>
      <t xml:space="preserve"> 
* Difusión, divulgación de información personal y/o sensible</t>
    </r>
  </si>
  <si>
    <t>Muy alta</t>
  </si>
  <si>
    <t>Computadoras fijas</t>
  </si>
  <si>
    <t>Producción</t>
  </si>
  <si>
    <t>Comunicaciones</t>
  </si>
  <si>
    <t>Impresos</t>
  </si>
  <si>
    <t>Otros equipos</t>
  </si>
  <si>
    <t>Servidores</t>
  </si>
  <si>
    <t>PC 1 - Administración</t>
  </si>
  <si>
    <t>Central telefónica Asterisk</t>
  </si>
  <si>
    <t>Informe de auditoría 2015</t>
  </si>
  <si>
    <t>Disco externo D123</t>
  </si>
  <si>
    <t>Smartphone Director Gral</t>
  </si>
  <si>
    <t>ANTEL - Internet</t>
  </si>
  <si>
    <t>Cinta</t>
  </si>
  <si>
    <t>Srv web</t>
  </si>
  <si>
    <t>Sitio institucional</t>
  </si>
  <si>
    <t>SGH - Sistema de Gestión Humana</t>
  </si>
  <si>
    <t>Gerentes</t>
  </si>
  <si>
    <t>Aire acondicionado 1 - CPD</t>
  </si>
  <si>
    <t>Carpeta de actas firmadas</t>
  </si>
  <si>
    <t>Impresora IMP01</t>
  </si>
  <si>
    <t>Prueba</t>
  </si>
  <si>
    <t>Virtual</t>
  </si>
  <si>
    <t>Contrato fijo</t>
  </si>
  <si>
    <t>Juan Perez</t>
  </si>
  <si>
    <t>Carpeta</t>
  </si>
  <si>
    <t>Uso gral</t>
  </si>
  <si>
    <t>Smartphone</t>
  </si>
  <si>
    <t>Disco</t>
  </si>
  <si>
    <t>Ofimatica</t>
  </si>
  <si>
    <t>Telefonía</t>
  </si>
  <si>
    <t>Personal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</si>
</sst>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 * #,##0.00_ ;_ [$€]\ * \-#,##0.00_ ;_ [$€]\ * &quot;-&quot;??_ ;_ @_ "/>
    <numFmt numFmtId="165" formatCode="_ [$€]\ * #,##0.00_ ;_ [$€]\ * \-#,##0.00_ ;_ [$€]\ * \-??_ ;_ @_ "/>
  </numFmts>
  <fonts count="53" x14ac:knownFonts="1">
    <font>
      <sz val="10"/>
      <name val="Arial"/>
    </font>
    <font>
      <sz val="10"/>
      <name val="Arial"/>
    </font>
    <font>
      <b/>
      <sz val="10"/>
      <name val="Arial"/>
      <family val="2"/>
    </font>
    <font>
      <sz val="10"/>
      <name val="Arial"/>
      <family val="2"/>
    </font>
    <font>
      <sz val="8"/>
      <name val="Arial"/>
    </font>
    <font>
      <b/>
      <sz val="18"/>
      <name val="Book Antiqua"/>
      <family val="1"/>
    </font>
    <font>
      <sz val="10"/>
      <name val="Arial"/>
    </font>
    <font>
      <sz val="18"/>
      <color indexed="60"/>
      <name val="Book Antiqua"/>
      <family val="1"/>
    </font>
    <font>
      <sz val="10"/>
      <color indexed="9"/>
      <name val="Arial"/>
      <family val="2"/>
    </font>
    <font>
      <sz val="11"/>
      <name val="Arial"/>
      <family val="2"/>
    </font>
    <font>
      <b/>
      <sz val="11"/>
      <color indexed="10"/>
      <name val="Arial"/>
      <family val="2"/>
    </font>
    <font>
      <b/>
      <i/>
      <sz val="10"/>
      <color indexed="10"/>
      <name val="Arial"/>
      <family val="2"/>
    </font>
    <font>
      <b/>
      <sz val="10"/>
      <name val="Calibri"/>
      <family val="2"/>
    </font>
    <font>
      <sz val="10"/>
      <name val="Calibri"/>
      <family val="2"/>
    </font>
    <font>
      <b/>
      <sz val="11"/>
      <name val="Calibri"/>
      <family val="2"/>
    </font>
    <font>
      <b/>
      <sz val="14"/>
      <name val="Calibri"/>
      <family val="2"/>
    </font>
    <font>
      <sz val="8"/>
      <name val="Arial"/>
      <family val="2"/>
    </font>
    <font>
      <sz val="8"/>
      <color indexed="9"/>
      <name val="Arial"/>
      <family val="2"/>
    </font>
    <font>
      <b/>
      <sz val="8"/>
      <name val="Arial"/>
      <family val="2"/>
    </font>
    <font>
      <b/>
      <sz val="8"/>
      <color indexed="9"/>
      <name val="Arial"/>
      <family val="2"/>
    </font>
    <font>
      <b/>
      <i/>
      <sz val="8"/>
      <color indexed="9"/>
      <name val="Arial"/>
      <family val="2"/>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sz val="9"/>
      <color indexed="81"/>
      <name val="Tahoma"/>
      <family val="2"/>
    </font>
    <font>
      <b/>
      <sz val="9"/>
      <color indexed="81"/>
      <name val="Tahoma"/>
      <family val="2"/>
    </font>
    <font>
      <sz val="9"/>
      <color indexed="81"/>
      <name val="Tahoma"/>
      <charset val="1"/>
    </font>
    <font>
      <b/>
      <sz val="9"/>
      <color indexed="81"/>
      <name val="Tahoma"/>
      <charset val="1"/>
    </font>
    <font>
      <sz val="11"/>
      <color theme="1"/>
      <name val="Calibri"/>
      <family val="2"/>
      <scheme val="minor"/>
    </font>
    <font>
      <b/>
      <sz val="8"/>
      <color theme="0"/>
      <name val="Arial"/>
      <family val="2"/>
    </font>
    <font>
      <b/>
      <sz val="10"/>
      <color indexed="9"/>
      <name val="Cambria"/>
      <family val="1"/>
      <scheme val="major"/>
    </font>
    <font>
      <sz val="10"/>
      <name val="Calibri"/>
      <family val="2"/>
      <scheme val="minor"/>
    </font>
    <font>
      <sz val="12"/>
      <name val="Calibri"/>
      <family val="2"/>
      <scheme val="minor"/>
    </font>
    <font>
      <b/>
      <sz val="10"/>
      <name val="Calibri"/>
      <family val="2"/>
      <scheme val="minor"/>
    </font>
    <font>
      <b/>
      <sz val="10"/>
      <color indexed="9"/>
      <name val="Calibri"/>
      <family val="2"/>
      <scheme val="minor"/>
    </font>
    <font>
      <sz val="10"/>
      <color indexed="10"/>
      <name val="Calibri"/>
      <family val="2"/>
      <scheme val="minor"/>
    </font>
    <font>
      <b/>
      <sz val="10"/>
      <name val="Cambria"/>
      <family val="1"/>
      <scheme val="major"/>
    </font>
    <font>
      <b/>
      <sz val="18"/>
      <name val="Cambria"/>
      <family val="1"/>
      <scheme val="major"/>
    </font>
    <font>
      <sz val="10"/>
      <name val="Cambria"/>
      <family val="1"/>
      <scheme val="major"/>
    </font>
  </fonts>
  <fills count="49">
    <fill>
      <patternFill patternType="none"/>
    </fill>
    <fill>
      <patternFill patternType="gray125"/>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34"/>
      </patternFill>
    </fill>
    <fill>
      <patternFill patternType="solid">
        <fgColor indexed="30"/>
        <bgColor indexed="38"/>
      </patternFill>
    </fill>
    <fill>
      <patternFill patternType="solid">
        <fgColor indexed="20"/>
        <bgColor indexed="36"/>
      </patternFill>
    </fill>
    <fill>
      <patternFill patternType="solid">
        <fgColor indexed="49"/>
        <bgColor indexed="40"/>
      </patternFill>
    </fill>
    <fill>
      <patternFill patternType="solid">
        <fgColor indexed="52"/>
        <bgColor indexed="19"/>
      </patternFill>
    </fill>
    <fill>
      <patternFill patternType="solid">
        <fgColor indexed="22"/>
        <bgColor indexed="31"/>
      </patternFill>
    </fill>
    <fill>
      <patternFill patternType="solid">
        <fgColor indexed="55"/>
        <bgColor indexed="23"/>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19"/>
      </patternFill>
    </fill>
    <fill>
      <patternFill patternType="solid">
        <fgColor indexed="43"/>
        <bgColor indexed="26"/>
      </patternFill>
    </fill>
    <fill>
      <patternFill patternType="solid">
        <fgColor indexed="26"/>
        <bgColor indexed="9"/>
      </patternFill>
    </fill>
    <fill>
      <patternFill patternType="solid">
        <fgColor indexed="9"/>
        <bgColor indexed="64"/>
      </patternFill>
    </fill>
    <fill>
      <patternFill patternType="solid">
        <fgColor indexed="22"/>
        <bgColor indexed="64"/>
      </patternFill>
    </fill>
    <fill>
      <patternFill patternType="solid">
        <fgColor indexed="54"/>
        <bgColor indexed="64"/>
      </patternFill>
    </fill>
    <fill>
      <patternFill patternType="solid">
        <fgColor indexed="51"/>
        <bgColor indexed="64"/>
      </patternFill>
    </fill>
    <fill>
      <patternFill patternType="solid">
        <fgColor indexed="10"/>
        <bgColor indexed="64"/>
      </patternFill>
    </fill>
    <fill>
      <patternFill patternType="solid">
        <fgColor indexed="57"/>
        <bgColor indexed="64"/>
      </patternFill>
    </fill>
    <fill>
      <patternFill patternType="solid">
        <fgColor indexed="9"/>
        <bgColor indexed="26"/>
      </patternFill>
    </fill>
    <fill>
      <patternFill patternType="solid">
        <fgColor indexed="48"/>
        <bgColor indexed="64"/>
      </patternFill>
    </fill>
    <fill>
      <patternFill patternType="solid">
        <fgColor indexed="52"/>
        <bgColor indexed="64"/>
      </patternFill>
    </fill>
    <fill>
      <patternFill patternType="solid">
        <fgColor indexed="17"/>
        <bgColor indexed="64"/>
      </patternFill>
    </fill>
    <fill>
      <patternFill patternType="gray0625">
        <bgColor indexed="57"/>
      </patternFill>
    </fill>
    <fill>
      <patternFill patternType="gray0625">
        <bgColor indexed="51"/>
      </patternFill>
    </fill>
    <fill>
      <patternFill patternType="gray0625">
        <bgColor indexed="52"/>
      </patternFill>
    </fill>
    <fill>
      <patternFill patternType="gray0625">
        <bgColor indexed="48"/>
      </patternFill>
    </fill>
    <fill>
      <patternFill patternType="solid">
        <fgColor theme="4" tint="0.39997558519241921"/>
        <bgColor indexed="64"/>
      </patternFill>
    </fill>
    <fill>
      <patternFill patternType="solid">
        <fgColor theme="4" tint="0.79998168889431442"/>
        <bgColor indexed="64"/>
      </patternFill>
    </fill>
    <fill>
      <patternFill patternType="solid">
        <fgColor theme="3" tint="0.39997558519241921"/>
        <bgColor indexed="64"/>
      </patternFill>
    </fill>
    <fill>
      <patternFill patternType="solid">
        <fgColor theme="3" tint="-0.499984740745262"/>
        <bgColor indexed="64"/>
      </patternFill>
    </fill>
    <fill>
      <patternFill patternType="solid">
        <fgColor theme="0" tint="-4.9989318521683403E-2"/>
        <bgColor indexed="41"/>
      </patternFill>
    </fill>
    <fill>
      <patternFill patternType="solid">
        <fgColor theme="0"/>
        <bgColor indexed="41"/>
      </patternFill>
    </fill>
    <fill>
      <patternFill patternType="solid">
        <fgColor theme="0" tint="-4.9989318521683403E-2"/>
        <bgColor indexed="26"/>
      </patternFill>
    </fill>
    <fill>
      <patternFill patternType="solid">
        <fgColor theme="0"/>
        <bgColor indexed="64"/>
      </patternFill>
    </fill>
    <fill>
      <patternFill patternType="solid">
        <fgColor theme="0" tint="-4.9989318521683403E-2"/>
        <bgColor indexed="64"/>
      </patternFill>
    </fill>
    <fill>
      <patternFill patternType="solid">
        <fgColor theme="4" tint="0.59999389629810485"/>
        <bgColor indexed="64"/>
      </patternFill>
    </fill>
    <fill>
      <patternFill patternType="solid">
        <fgColor rgb="FF339966"/>
        <bgColor indexed="64"/>
      </patternFill>
    </fill>
  </fills>
  <borders count="2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medium">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s>
  <cellStyleXfs count="49">
    <xf numFmtId="0" fontId="0" fillId="0" borderId="0"/>
    <xf numFmtId="0" fontId="21" fillId="2" borderId="0" applyNumberFormat="0" applyBorder="0" applyAlignment="0" applyProtection="0"/>
    <xf numFmtId="0" fontId="21" fillId="3" borderId="0" applyNumberFormat="0" applyBorder="0" applyAlignment="0" applyProtection="0"/>
    <xf numFmtId="0" fontId="21" fillId="4" borderId="0" applyNumberFormat="0" applyBorder="0" applyAlignment="0" applyProtection="0"/>
    <xf numFmtId="0" fontId="21" fillId="5" borderId="0" applyNumberFormat="0" applyBorder="0" applyAlignment="0" applyProtection="0"/>
    <xf numFmtId="0" fontId="21" fillId="6" borderId="0" applyNumberFormat="0" applyBorder="0" applyAlignment="0" applyProtection="0"/>
    <xf numFmtId="0" fontId="21" fillId="7"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5" borderId="0" applyNumberFormat="0" applyBorder="0" applyAlignment="0" applyProtection="0"/>
    <xf numFmtId="0" fontId="21" fillId="8" borderId="0" applyNumberFormat="0" applyBorder="0" applyAlignment="0" applyProtection="0"/>
    <xf numFmtId="0" fontId="21" fillId="11" borderId="0" applyNumberFormat="0" applyBorder="0" applyAlignment="0" applyProtection="0"/>
    <xf numFmtId="0" fontId="22" fillId="12"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3" fillId="4" borderId="0" applyNumberFormat="0" applyBorder="0" applyAlignment="0" applyProtection="0"/>
    <xf numFmtId="0" fontId="24" fillId="16" borderId="1" applyNumberFormat="0" applyAlignment="0" applyProtection="0"/>
    <xf numFmtId="0" fontId="25" fillId="17" borderId="2" applyNumberFormat="0" applyAlignment="0" applyProtection="0"/>
    <xf numFmtId="0" fontId="26" fillId="0" borderId="3" applyNumberFormat="0" applyFill="0" applyAlignment="0" applyProtection="0"/>
    <xf numFmtId="0" fontId="27" fillId="0" borderId="0" applyNumberFormat="0" applyFill="0" applyBorder="0" applyAlignment="0" applyProtection="0"/>
    <xf numFmtId="0" fontId="22"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21" borderId="0" applyNumberFormat="0" applyBorder="0" applyAlignment="0" applyProtection="0"/>
    <xf numFmtId="0" fontId="28" fillId="7" borderId="1" applyNumberFormat="0" applyAlignment="0" applyProtection="0"/>
    <xf numFmtId="164" fontId="1" fillId="0" borderId="0" applyFont="0" applyFill="0" applyBorder="0" applyAlignment="0" applyProtection="0"/>
    <xf numFmtId="164" fontId="6" fillId="0" borderId="0" applyFont="0" applyFill="0" applyBorder="0" applyAlignment="0" applyProtection="0"/>
    <xf numFmtId="165" fontId="3" fillId="0" borderId="0" applyFill="0" applyBorder="0" applyAlignment="0" applyProtection="0"/>
    <xf numFmtId="0" fontId="29" fillId="3" borderId="0" applyNumberFormat="0" applyBorder="0" applyAlignment="0" applyProtection="0"/>
    <xf numFmtId="0" fontId="30" fillId="22" borderId="0" applyNumberFormat="0" applyBorder="0" applyAlignment="0" applyProtection="0"/>
    <xf numFmtId="0" fontId="3" fillId="0" borderId="0"/>
    <xf numFmtId="0" fontId="42" fillId="0" borderId="0"/>
    <xf numFmtId="0" fontId="21" fillId="0" borderId="0"/>
    <xf numFmtId="0" fontId="6" fillId="0" borderId="0"/>
    <xf numFmtId="0" fontId="3" fillId="23" borderId="5" applyNumberFormat="0" applyAlignment="0" applyProtection="0"/>
    <xf numFmtId="0" fontId="31" fillId="16" borderId="6" applyNumberFormat="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5" fillId="0" borderId="4" applyNumberFormat="0" applyFill="0" applyAlignment="0" applyProtection="0"/>
    <xf numFmtId="0" fontId="36" fillId="0" borderId="7" applyNumberFormat="0" applyFill="0" applyAlignment="0" applyProtection="0"/>
    <xf numFmtId="0" fontId="27" fillId="0" borderId="8" applyNumberFormat="0" applyFill="0" applyAlignment="0" applyProtection="0"/>
    <xf numFmtId="0" fontId="34" fillId="0" borderId="0" applyNumberFormat="0" applyFill="0" applyBorder="0" applyAlignment="0" applyProtection="0"/>
    <xf numFmtId="0" fontId="37" fillId="0" borderId="9" applyNumberFormat="0" applyFill="0" applyAlignment="0" applyProtection="0"/>
  </cellStyleXfs>
  <cellXfs count="135">
    <xf numFmtId="0" fontId="0" fillId="0" borderId="0" xfId="0"/>
    <xf numFmtId="0" fontId="3" fillId="24" borderId="0" xfId="0" applyFont="1" applyFill="1" applyAlignment="1">
      <alignment horizontal="justify" vertical="top"/>
    </xf>
    <xf numFmtId="0" fontId="5" fillId="24" borderId="0" xfId="0" applyFont="1" applyFill="1" applyAlignment="1">
      <alignment horizontal="justify" vertical="top"/>
    </xf>
    <xf numFmtId="0" fontId="7" fillId="24" borderId="0" xfId="0" applyFont="1" applyFill="1" applyAlignment="1">
      <alignment horizontal="justify" vertical="top"/>
    </xf>
    <xf numFmtId="0" fontId="2" fillId="24" borderId="0" xfId="0" applyFont="1" applyFill="1" applyAlignment="1">
      <alignment horizontal="justify" vertical="top"/>
    </xf>
    <xf numFmtId="0" fontId="10" fillId="24" borderId="0" xfId="0" applyFont="1" applyFill="1" applyBorder="1" applyAlignment="1">
      <alignment horizontal="justify" vertical="top" wrapText="1"/>
    </xf>
    <xf numFmtId="0" fontId="9" fillId="24" borderId="0" xfId="0" applyFont="1" applyFill="1" applyBorder="1" applyAlignment="1">
      <alignment horizontal="justify" vertical="top" wrapText="1"/>
    </xf>
    <xf numFmtId="0" fontId="3" fillId="24" borderId="0" xfId="0" applyFont="1" applyFill="1" applyBorder="1" applyAlignment="1">
      <alignment horizontal="justify" vertical="top"/>
    </xf>
    <xf numFmtId="0" fontId="8" fillId="24" borderId="0" xfId="0" applyFont="1" applyFill="1" applyAlignment="1">
      <alignment horizontal="justify" vertical="top"/>
    </xf>
    <xf numFmtId="0" fontId="11" fillId="24" borderId="0" xfId="0" applyFont="1" applyFill="1" applyBorder="1" applyAlignment="1">
      <alignment horizontal="justify" vertical="top" wrapText="1"/>
    </xf>
    <xf numFmtId="0" fontId="3" fillId="24" borderId="0" xfId="0" applyFont="1" applyFill="1" applyBorder="1" applyAlignment="1">
      <alignment horizontal="justify" vertical="top" wrapText="1"/>
    </xf>
    <xf numFmtId="0" fontId="12" fillId="25" borderId="0" xfId="0" applyFont="1" applyFill="1" applyBorder="1" applyAlignment="1">
      <alignment horizontal="justify" vertical="center"/>
    </xf>
    <xf numFmtId="0" fontId="12" fillId="25" borderId="0" xfId="0" applyFont="1" applyFill="1" applyBorder="1" applyAlignment="1">
      <alignment vertical="center"/>
    </xf>
    <xf numFmtId="0" fontId="13" fillId="25" borderId="0" xfId="0" applyFont="1" applyFill="1" applyBorder="1" applyAlignment="1">
      <alignment vertical="center"/>
    </xf>
    <xf numFmtId="0" fontId="13" fillId="0" borderId="10" xfId="0" applyFont="1" applyFill="1" applyBorder="1" applyAlignment="1">
      <alignment horizontal="center" vertical="center"/>
    </xf>
    <xf numFmtId="0" fontId="13" fillId="0" borderId="10" xfId="0" applyFont="1" applyFill="1" applyBorder="1" applyAlignment="1">
      <alignment horizontal="left" vertical="center"/>
    </xf>
    <xf numFmtId="0" fontId="13" fillId="0" borderId="10" xfId="0" applyFont="1" applyFill="1" applyBorder="1" applyAlignment="1">
      <alignment horizontal="justify" vertical="center"/>
    </xf>
    <xf numFmtId="0" fontId="13" fillId="0" borderId="10" xfId="0" applyNumberFormat="1" applyFont="1" applyFill="1" applyBorder="1" applyAlignment="1">
      <alignment horizontal="center" vertical="center"/>
    </xf>
    <xf numFmtId="0" fontId="12" fillId="25" borderId="0" xfId="0" applyFont="1" applyFill="1" applyBorder="1" applyAlignment="1">
      <alignment horizontal="left" vertical="center"/>
    </xf>
    <xf numFmtId="0" fontId="12" fillId="25" borderId="0" xfId="0" applyFont="1" applyFill="1" applyBorder="1" applyAlignment="1">
      <alignment horizontal="center" vertical="center"/>
    </xf>
    <xf numFmtId="0" fontId="13" fillId="25" borderId="0" xfId="0" applyFont="1" applyFill="1" applyBorder="1" applyAlignment="1">
      <alignment horizontal="justify" vertical="center"/>
    </xf>
    <xf numFmtId="0" fontId="12" fillId="25" borderId="0" xfId="0" applyFont="1" applyFill="1" applyAlignment="1">
      <alignment horizontal="center" vertical="center"/>
    </xf>
    <xf numFmtId="0" fontId="14" fillId="26" borderId="11" xfId="0" applyFont="1" applyFill="1" applyBorder="1" applyAlignment="1">
      <alignment horizontal="center" vertical="center"/>
    </xf>
    <xf numFmtId="0" fontId="14" fillId="26" borderId="12" xfId="0" applyFont="1" applyFill="1" applyBorder="1" applyAlignment="1">
      <alignment horizontal="center" vertical="center"/>
    </xf>
    <xf numFmtId="0" fontId="14" fillId="26" borderId="13" xfId="0" applyFont="1" applyFill="1" applyBorder="1" applyAlignment="1">
      <alignment horizontal="center" vertical="center"/>
    </xf>
    <xf numFmtId="0" fontId="13" fillId="0" borderId="0" xfId="0" applyFont="1" applyAlignment="1">
      <alignment horizontal="center" vertical="center"/>
    </xf>
    <xf numFmtId="0" fontId="12" fillId="0" borderId="0" xfId="0" applyFont="1" applyFill="1" applyBorder="1" applyAlignment="1">
      <alignment horizontal="left" vertical="center"/>
    </xf>
    <xf numFmtId="0" fontId="12" fillId="0" borderId="0" xfId="0" applyFont="1" applyFill="1" applyBorder="1" applyAlignment="1">
      <alignment horizontal="center" vertical="center"/>
    </xf>
    <xf numFmtId="0" fontId="13" fillId="0" borderId="0" xfId="0" applyFont="1" applyFill="1" applyBorder="1" applyAlignment="1">
      <alignment horizontal="justify" vertical="center"/>
    </xf>
    <xf numFmtId="0" fontId="12" fillId="0" borderId="0" xfId="0" applyFont="1" applyFill="1" applyBorder="1" applyAlignment="1">
      <alignment horizontal="justify" vertical="center"/>
    </xf>
    <xf numFmtId="0" fontId="12" fillId="0" borderId="0" xfId="0" applyFont="1" applyFill="1" applyBorder="1" applyAlignment="1">
      <alignment vertical="center"/>
    </xf>
    <xf numFmtId="0" fontId="12" fillId="0" borderId="0" xfId="0" applyFont="1" applyFill="1" applyAlignment="1">
      <alignment horizontal="center" vertical="center"/>
    </xf>
    <xf numFmtId="0" fontId="13" fillId="0" borderId="10" xfId="0" applyFont="1" applyFill="1" applyBorder="1"/>
    <xf numFmtId="0" fontId="12" fillId="38" borderId="10" xfId="0" applyFont="1" applyFill="1" applyBorder="1" applyAlignment="1">
      <alignment horizontal="left" vertical="center"/>
    </xf>
    <xf numFmtId="0" fontId="12" fillId="38" borderId="10" xfId="0" applyFont="1" applyFill="1" applyBorder="1" applyAlignment="1">
      <alignment horizontal="center" vertical="center"/>
    </xf>
    <xf numFmtId="0" fontId="12" fillId="38" borderId="10" xfId="0" applyFont="1" applyFill="1" applyBorder="1" applyAlignment="1">
      <alignment horizontal="justify" vertical="center"/>
    </xf>
    <xf numFmtId="0" fontId="12" fillId="39" borderId="10" xfId="0" applyNumberFormat="1" applyFont="1" applyFill="1" applyBorder="1" applyAlignment="1">
      <alignment horizontal="center" vertical="center"/>
    </xf>
    <xf numFmtId="0" fontId="13" fillId="0" borderId="14" xfId="0" applyFont="1" applyFill="1" applyBorder="1" applyAlignment="1">
      <alignment horizontal="left" vertical="center"/>
    </xf>
    <xf numFmtId="0" fontId="12" fillId="38" borderId="14" xfId="0" applyFont="1" applyFill="1" applyBorder="1" applyAlignment="1">
      <alignment horizontal="left" vertical="center"/>
    </xf>
    <xf numFmtId="0" fontId="18" fillId="0" borderId="10" xfId="0" applyFont="1" applyFill="1" applyBorder="1" applyAlignment="1">
      <alignment horizontal="justify" vertical="top" wrapText="1"/>
    </xf>
    <xf numFmtId="0" fontId="16" fillId="0" borderId="10" xfId="0" applyFont="1" applyBorder="1" applyAlignment="1">
      <alignment horizontal="justify" vertical="top" wrapText="1"/>
    </xf>
    <xf numFmtId="0" fontId="19" fillId="40" borderId="10" xfId="0" applyFont="1" applyFill="1" applyBorder="1" applyAlignment="1">
      <alignment horizontal="justify" vertical="top" wrapText="1"/>
    </xf>
    <xf numFmtId="0" fontId="17" fillId="41" borderId="10" xfId="0" applyFont="1" applyFill="1" applyBorder="1" applyAlignment="1">
      <alignment horizontal="justify" vertical="top"/>
    </xf>
    <xf numFmtId="0" fontId="43" fillId="40" borderId="10" xfId="0" applyFont="1" applyFill="1" applyBorder="1" applyAlignment="1">
      <alignment horizontal="justify" vertical="top" wrapText="1"/>
    </xf>
    <xf numFmtId="0" fontId="16" fillId="27" borderId="10" xfId="0" applyFont="1" applyFill="1" applyBorder="1" applyAlignment="1">
      <alignment horizontal="justify" vertical="top" wrapText="1"/>
    </xf>
    <xf numFmtId="0" fontId="16" fillId="28" borderId="10" xfId="0" applyFont="1" applyFill="1" applyBorder="1" applyAlignment="1">
      <alignment horizontal="justify" vertical="top" wrapText="1"/>
    </xf>
    <xf numFmtId="0" fontId="44" fillId="41" borderId="10" xfId="0" applyFont="1" applyFill="1" applyBorder="1" applyAlignment="1">
      <alignment horizontal="justify" vertical="top"/>
    </xf>
    <xf numFmtId="0" fontId="20" fillId="29" borderId="10" xfId="0" applyFont="1" applyFill="1" applyBorder="1" applyAlignment="1">
      <alignment horizontal="justify" vertical="top" wrapText="1"/>
    </xf>
    <xf numFmtId="0" fontId="20" fillId="27" borderId="10" xfId="0" applyFont="1" applyFill="1" applyBorder="1" applyAlignment="1">
      <alignment horizontal="justify" vertical="top" wrapText="1"/>
    </xf>
    <xf numFmtId="0" fontId="20" fillId="28" borderId="10" xfId="0" applyFont="1" applyFill="1" applyBorder="1" applyAlignment="1">
      <alignment horizontal="justify" vertical="top" wrapText="1"/>
    </xf>
    <xf numFmtId="0" fontId="13" fillId="0" borderId="10" xfId="0" applyFont="1" applyFill="1" applyBorder="1" applyAlignment="1">
      <alignment vertical="center"/>
    </xf>
    <xf numFmtId="0" fontId="45" fillId="42" borderId="10" xfId="0" applyFont="1" applyFill="1" applyBorder="1" applyAlignment="1">
      <alignment horizontal="center" vertical="center" shrinkToFit="1"/>
    </xf>
    <xf numFmtId="0" fontId="45" fillId="43" borderId="10" xfId="0" applyFont="1" applyFill="1" applyBorder="1" applyAlignment="1">
      <alignment horizontal="center" vertical="center" shrinkToFit="1"/>
    </xf>
    <xf numFmtId="1" fontId="45" fillId="0" borderId="10" xfId="0" applyNumberFormat="1" applyFont="1" applyFill="1" applyBorder="1" applyAlignment="1">
      <alignment horizontal="center" vertical="center" shrinkToFit="1"/>
    </xf>
    <xf numFmtId="0" fontId="45" fillId="0" borderId="10" xfId="0" applyFont="1" applyFill="1" applyBorder="1" applyAlignment="1">
      <alignment horizontal="center" vertical="center" shrinkToFit="1"/>
    </xf>
    <xf numFmtId="0" fontId="45" fillId="6" borderId="10" xfId="0" applyFont="1" applyFill="1" applyBorder="1" applyAlignment="1">
      <alignment horizontal="center" vertical="center" shrinkToFit="1"/>
    </xf>
    <xf numFmtId="0" fontId="45" fillId="0" borderId="15" xfId="0" applyFont="1" applyFill="1" applyBorder="1" applyAlignment="1">
      <alignment horizontal="left" vertical="center" wrapText="1" shrinkToFit="1"/>
    </xf>
    <xf numFmtId="49" fontId="45" fillId="0" borderId="10" xfId="0" applyNumberFormat="1" applyFont="1" applyFill="1" applyBorder="1" applyAlignment="1">
      <alignment horizontal="left" vertical="justify" shrinkToFit="1"/>
    </xf>
    <xf numFmtId="49" fontId="45" fillId="0" borderId="10" xfId="0" applyNumberFormat="1" applyFont="1" applyFill="1" applyBorder="1" applyAlignment="1">
      <alignment horizontal="center" vertical="center" shrinkToFit="1"/>
    </xf>
    <xf numFmtId="0" fontId="45" fillId="0" borderId="10" xfId="0" applyFont="1" applyFill="1" applyBorder="1" applyAlignment="1">
      <alignment horizontal="left" vertical="center" wrapText="1"/>
    </xf>
    <xf numFmtId="0" fontId="45" fillId="0" borderId="15" xfId="0" applyFont="1" applyFill="1" applyBorder="1" applyAlignment="1">
      <alignment horizontal="left" vertical="center" wrapText="1"/>
    </xf>
    <xf numFmtId="1" fontId="45" fillId="0" borderId="15" xfId="0" applyNumberFormat="1" applyFont="1" applyFill="1" applyBorder="1" applyAlignment="1">
      <alignment horizontal="center" vertical="center" shrinkToFit="1"/>
    </xf>
    <xf numFmtId="49" fontId="45" fillId="0" borderId="15" xfId="0" applyNumberFormat="1" applyFont="1" applyFill="1" applyBorder="1" applyAlignment="1">
      <alignment horizontal="left" vertical="justify" shrinkToFit="1"/>
    </xf>
    <xf numFmtId="49" fontId="45" fillId="0" borderId="15" xfId="0" applyNumberFormat="1" applyFont="1" applyFill="1" applyBorder="1" applyAlignment="1">
      <alignment horizontal="left" vertical="center" wrapText="1" shrinkToFit="1"/>
    </xf>
    <xf numFmtId="0" fontId="45" fillId="44" borderId="0" xfId="0" applyFont="1" applyFill="1" applyBorder="1" applyAlignment="1">
      <alignment horizontal="left" shrinkToFit="1"/>
    </xf>
    <xf numFmtId="0" fontId="45" fillId="44" borderId="0" xfId="0" applyFont="1" applyFill="1" applyAlignment="1">
      <alignment horizontal="left" shrinkToFit="1"/>
    </xf>
    <xf numFmtId="0" fontId="45" fillId="45" borderId="0" xfId="0" applyFont="1" applyFill="1" applyBorder="1" applyAlignment="1">
      <alignment horizontal="left" shrinkToFit="1"/>
    </xf>
    <xf numFmtId="0" fontId="45" fillId="24" borderId="0" xfId="0" applyFont="1" applyFill="1" applyBorder="1" applyAlignment="1">
      <alignment horizontal="left" shrinkToFit="1"/>
    </xf>
    <xf numFmtId="0" fontId="45" fillId="46" borderId="0" xfId="0" applyFont="1" applyFill="1" applyBorder="1" applyAlignment="1">
      <alignment horizontal="left" shrinkToFit="1"/>
    </xf>
    <xf numFmtId="0" fontId="45" fillId="30" borderId="0" xfId="0" applyFont="1" applyFill="1" applyBorder="1" applyAlignment="1">
      <alignment horizontal="left" shrinkToFit="1"/>
    </xf>
    <xf numFmtId="0" fontId="45" fillId="46" borderId="0" xfId="0" applyFont="1" applyFill="1" applyAlignment="1">
      <alignment horizontal="left" shrinkToFit="1"/>
    </xf>
    <xf numFmtId="0" fontId="45" fillId="24" borderId="0" xfId="0" applyFont="1" applyFill="1" applyAlignment="1">
      <alignment horizontal="left" shrinkToFit="1"/>
    </xf>
    <xf numFmtId="0" fontId="45" fillId="0" borderId="0" xfId="0" applyFont="1" applyFill="1" applyAlignment="1">
      <alignment horizontal="center" vertical="center" shrinkToFit="1"/>
    </xf>
    <xf numFmtId="49" fontId="45" fillId="24" borderId="0" xfId="0" applyNumberFormat="1" applyFont="1" applyFill="1" applyAlignment="1">
      <alignment horizontal="center" vertical="center" shrinkToFit="1"/>
    </xf>
    <xf numFmtId="0" fontId="45" fillId="24" borderId="0" xfId="0" applyFont="1" applyFill="1" applyAlignment="1">
      <alignment vertical="center" wrapText="1"/>
    </xf>
    <xf numFmtId="0" fontId="45" fillId="24" borderId="0" xfId="0" applyFont="1" applyFill="1" applyAlignment="1">
      <alignment horizontal="center" vertical="center" shrinkToFit="1"/>
    </xf>
    <xf numFmtId="0" fontId="46" fillId="24" borderId="0" xfId="0" applyFont="1" applyFill="1" applyAlignment="1">
      <alignment horizontal="center" vertical="center" shrinkToFit="1"/>
    </xf>
    <xf numFmtId="49" fontId="45" fillId="24" borderId="0" xfId="0" applyNumberFormat="1" applyFont="1" applyFill="1" applyAlignment="1">
      <alignment horizontal="left" shrinkToFit="1"/>
    </xf>
    <xf numFmtId="49" fontId="45" fillId="24" borderId="0" xfId="0" applyNumberFormat="1" applyFont="1" applyFill="1" applyAlignment="1">
      <alignment horizontal="center" shrinkToFit="1"/>
    </xf>
    <xf numFmtId="0" fontId="45" fillId="0" borderId="0" xfId="0" applyFont="1"/>
    <xf numFmtId="0" fontId="45" fillId="0" borderId="10" xfId="0" applyFont="1" applyBorder="1"/>
    <xf numFmtId="0" fontId="47" fillId="39" borderId="10" xfId="0" applyFont="1" applyFill="1" applyBorder="1" applyAlignment="1">
      <alignment horizontal="center" vertical="center"/>
    </xf>
    <xf numFmtId="0" fontId="47" fillId="47" borderId="10" xfId="0" applyFont="1" applyFill="1" applyBorder="1" applyAlignment="1">
      <alignment horizontal="center" vertical="center" wrapText="1"/>
    </xf>
    <xf numFmtId="0" fontId="45" fillId="0" borderId="10" xfId="0" applyFont="1" applyFill="1" applyBorder="1" applyAlignment="1">
      <alignment horizontal="left" vertical="center" wrapText="1" shrinkToFit="1"/>
    </xf>
    <xf numFmtId="0" fontId="20" fillId="48" borderId="10" xfId="0" applyFont="1" applyFill="1" applyBorder="1" applyAlignment="1">
      <alignment horizontal="justify" vertical="top" wrapText="1"/>
    </xf>
    <xf numFmtId="0" fontId="16" fillId="48" borderId="10" xfId="0" applyFont="1" applyFill="1" applyBorder="1" applyAlignment="1">
      <alignment horizontal="justify" vertical="top" wrapText="1"/>
    </xf>
    <xf numFmtId="0" fontId="47" fillId="38" borderId="10" xfId="0" applyFont="1" applyFill="1" applyBorder="1" applyAlignment="1">
      <alignment vertical="center" wrapText="1"/>
    </xf>
    <xf numFmtId="49" fontId="47" fillId="38" borderId="10" xfId="0" applyNumberFormat="1" applyFont="1" applyFill="1" applyBorder="1" applyAlignment="1">
      <alignment horizontal="center" vertical="center" wrapText="1" shrinkToFit="1"/>
    </xf>
    <xf numFmtId="1" fontId="48" fillId="31" borderId="10" xfId="0" applyNumberFormat="1" applyFont="1" applyFill="1" applyBorder="1" applyAlignment="1">
      <alignment horizontal="center" vertical="center" shrinkToFit="1"/>
    </xf>
    <xf numFmtId="1" fontId="48" fillId="32" borderId="10" xfId="0" applyNumberFormat="1" applyFont="1" applyFill="1" applyBorder="1" applyAlignment="1">
      <alignment horizontal="center" vertical="center" shrinkToFit="1"/>
    </xf>
    <xf numFmtId="1" fontId="48" fillId="33" borderId="0" xfId="0" applyNumberFormat="1" applyFont="1" applyFill="1" applyBorder="1" applyAlignment="1">
      <alignment horizontal="center" vertical="center" shrinkToFit="1"/>
    </xf>
    <xf numFmtId="0" fontId="48" fillId="34" borderId="0" xfId="0" applyFont="1" applyFill="1" applyBorder="1" applyAlignment="1">
      <alignment horizontal="center" vertical="center" shrinkToFit="1"/>
    </xf>
    <xf numFmtId="49" fontId="47" fillId="35" borderId="10" xfId="0" applyNumberFormat="1" applyFont="1" applyFill="1" applyBorder="1" applyAlignment="1">
      <alignment horizontal="center" vertical="center" shrinkToFit="1"/>
    </xf>
    <xf numFmtId="49" fontId="48" fillId="36" borderId="10" xfId="0" applyNumberFormat="1" applyFont="1" applyFill="1" applyBorder="1" applyAlignment="1">
      <alignment horizontal="center" vertical="center" shrinkToFit="1"/>
    </xf>
    <xf numFmtId="1" fontId="48" fillId="37" borderId="10" xfId="0" applyNumberFormat="1" applyFont="1" applyFill="1" applyBorder="1" applyAlignment="1">
      <alignment horizontal="center" vertical="center" shrinkToFit="1"/>
    </xf>
    <xf numFmtId="1" fontId="47" fillId="34" borderId="16" xfId="0" applyNumberFormat="1" applyFont="1" applyFill="1" applyBorder="1" applyAlignment="1">
      <alignment horizontal="center" vertical="center" shrinkToFit="1"/>
    </xf>
    <xf numFmtId="1" fontId="47" fillId="29" borderId="16" xfId="0" applyNumberFormat="1" applyFont="1" applyFill="1" applyBorder="1" applyAlignment="1">
      <alignment horizontal="center" vertical="center" wrapText="1" shrinkToFit="1"/>
    </xf>
    <xf numFmtId="0" fontId="45" fillId="0" borderId="0" xfId="0" applyFont="1" applyFill="1" applyBorder="1" applyAlignment="1">
      <alignment horizontal="left" vertical="center" wrapText="1"/>
    </xf>
    <xf numFmtId="49" fontId="45" fillId="0" borderId="17" xfId="0" applyNumberFormat="1" applyFont="1" applyFill="1" applyBorder="1" applyAlignment="1">
      <alignment horizontal="left" vertical="justify" shrinkToFit="1"/>
    </xf>
    <xf numFmtId="0" fontId="45" fillId="0" borderId="10" xfId="0" applyFont="1" applyFill="1" applyBorder="1" applyAlignment="1">
      <alignment vertical="center" wrapText="1"/>
    </xf>
    <xf numFmtId="0" fontId="45" fillId="0" borderId="10" xfId="0" applyFont="1" applyFill="1" applyBorder="1" applyAlignment="1">
      <alignment horizontal="justify" vertical="center" wrapText="1" shrinkToFit="1"/>
    </xf>
    <xf numFmtId="0" fontId="47" fillId="0" borderId="10" xfId="0" applyFont="1" applyFill="1" applyBorder="1" applyAlignment="1">
      <alignment horizontal="left" vertical="center" wrapText="1"/>
    </xf>
    <xf numFmtId="1" fontId="45" fillId="0" borderId="0" xfId="0" applyNumberFormat="1" applyFont="1" applyFill="1" applyBorder="1" applyAlignment="1">
      <alignment horizontal="center" vertical="center" shrinkToFit="1"/>
    </xf>
    <xf numFmtId="0" fontId="45" fillId="0" borderId="10" xfId="0" applyFont="1" applyFill="1" applyBorder="1" applyAlignment="1">
      <alignment vertical="center" wrapText="1" shrinkToFit="1"/>
    </xf>
    <xf numFmtId="49" fontId="45" fillId="0" borderId="17" xfId="0" applyNumberFormat="1" applyFont="1" applyFill="1" applyBorder="1" applyAlignment="1">
      <alignment horizontal="center" vertical="center" shrinkToFit="1"/>
    </xf>
    <xf numFmtId="0" fontId="45" fillId="0" borderId="17" xfId="0" applyFont="1" applyFill="1" applyBorder="1" applyAlignment="1">
      <alignment horizontal="center" vertical="center" shrinkToFit="1"/>
    </xf>
    <xf numFmtId="49" fontId="45" fillId="0" borderId="10" xfId="0" applyNumberFormat="1" applyFont="1" applyFill="1" applyBorder="1" applyAlignment="1">
      <alignment horizontal="left" vertical="center" wrapText="1" shrinkToFit="1"/>
    </xf>
    <xf numFmtId="0" fontId="45" fillId="0" borderId="15" xfId="0" applyFont="1" applyFill="1" applyBorder="1" applyAlignment="1">
      <alignment horizontal="left" vertical="justify"/>
    </xf>
    <xf numFmtId="49" fontId="45" fillId="0" borderId="10" xfId="0" applyNumberFormat="1" applyFont="1" applyFill="1" applyBorder="1" applyAlignment="1">
      <alignment horizontal="left" shrinkToFit="1"/>
    </xf>
    <xf numFmtId="49" fontId="45" fillId="0" borderId="10" xfId="0" applyNumberFormat="1" applyFont="1" applyFill="1" applyBorder="1" applyAlignment="1">
      <alignment horizontal="center" shrinkToFit="1"/>
    </xf>
    <xf numFmtId="0" fontId="45" fillId="0" borderId="18" xfId="0" applyFont="1" applyFill="1" applyBorder="1" applyAlignment="1">
      <alignment horizontal="left" vertical="center" wrapText="1" shrinkToFit="1"/>
    </xf>
    <xf numFmtId="49" fontId="45" fillId="0" borderId="17" xfId="0" applyNumberFormat="1" applyFont="1" applyFill="1" applyBorder="1" applyAlignment="1">
      <alignment horizontal="left" shrinkToFit="1"/>
    </xf>
    <xf numFmtId="49" fontId="45" fillId="0" borderId="17" xfId="0" applyNumberFormat="1" applyFont="1" applyFill="1" applyBorder="1" applyAlignment="1">
      <alignment horizontal="center" shrinkToFit="1"/>
    </xf>
    <xf numFmtId="0" fontId="46" fillId="0" borderId="10" xfId="0" applyFont="1" applyFill="1" applyBorder="1" applyAlignment="1">
      <alignment horizontal="center" vertical="center" shrinkToFit="1"/>
    </xf>
    <xf numFmtId="0" fontId="45" fillId="0" borderId="10" xfId="0" applyFont="1" applyFill="1" applyBorder="1" applyAlignment="1">
      <alignment horizontal="left" shrinkToFit="1"/>
    </xf>
    <xf numFmtId="0" fontId="49" fillId="0" borderId="10" xfId="0" applyFont="1" applyFill="1" applyBorder="1" applyAlignment="1">
      <alignment vertical="center" wrapText="1"/>
    </xf>
    <xf numFmtId="0" fontId="13" fillId="0" borderId="10" xfId="0" applyFont="1" applyFill="1" applyBorder="1" applyAlignment="1">
      <alignment horizontal="center" vertical="center" wrapText="1"/>
    </xf>
    <xf numFmtId="0" fontId="13" fillId="0" borderId="10" xfId="0" applyFont="1" applyFill="1" applyBorder="1" applyAlignment="1">
      <alignment horizontal="left" vertical="top" wrapText="1"/>
    </xf>
    <xf numFmtId="0" fontId="13" fillId="0" borderId="10" xfId="0" applyFont="1" applyFill="1" applyBorder="1" applyAlignment="1">
      <alignment horizontal="left" vertical="center" wrapText="1"/>
    </xf>
    <xf numFmtId="0" fontId="45" fillId="45" borderId="10" xfId="0" applyFont="1" applyFill="1" applyBorder="1" applyAlignment="1">
      <alignment horizontal="left" shrinkToFit="1"/>
    </xf>
    <xf numFmtId="0" fontId="44" fillId="41" borderId="10" xfId="0" applyFont="1" applyFill="1" applyBorder="1" applyAlignment="1">
      <alignment horizontal="justify" vertical="top"/>
    </xf>
    <xf numFmtId="0" fontId="50" fillId="41" borderId="10" xfId="0" applyFont="1" applyFill="1" applyBorder="1" applyAlignment="1">
      <alignment horizontal="justify" vertical="top"/>
    </xf>
    <xf numFmtId="0" fontId="51" fillId="0" borderId="0" xfId="0" applyFont="1" applyFill="1" applyAlignment="1">
      <alignment horizontal="center" vertical="center"/>
    </xf>
    <xf numFmtId="0" fontId="52" fillId="0" borderId="0" xfId="0" applyFont="1" applyAlignment="1"/>
    <xf numFmtId="0" fontId="44" fillId="41" borderId="16" xfId="0" applyFont="1" applyFill="1" applyBorder="1" applyAlignment="1">
      <alignment horizontal="center" vertical="top"/>
    </xf>
    <xf numFmtId="0" fontId="44" fillId="41" borderId="12" xfId="0" applyFont="1" applyFill="1" applyBorder="1" applyAlignment="1">
      <alignment horizontal="center" vertical="top"/>
    </xf>
    <xf numFmtId="0" fontId="44" fillId="41" borderId="19" xfId="0" applyFont="1" applyFill="1" applyBorder="1" applyAlignment="1">
      <alignment horizontal="center" vertical="top"/>
    </xf>
    <xf numFmtId="0" fontId="15" fillId="39" borderId="20" xfId="0" applyFont="1" applyFill="1" applyBorder="1" applyAlignment="1">
      <alignment horizontal="center" vertical="center"/>
    </xf>
    <xf numFmtId="0" fontId="15" fillId="39" borderId="21" xfId="0" applyFont="1" applyFill="1" applyBorder="1" applyAlignment="1">
      <alignment horizontal="center" vertical="center"/>
    </xf>
    <xf numFmtId="0" fontId="15" fillId="38" borderId="22" xfId="0" applyFont="1" applyFill="1" applyBorder="1" applyAlignment="1">
      <alignment horizontal="center" vertical="center"/>
    </xf>
    <xf numFmtId="0" fontId="15" fillId="38" borderId="23" xfId="0" applyFont="1" applyFill="1" applyBorder="1" applyAlignment="1">
      <alignment horizontal="center" vertical="center"/>
    </xf>
    <xf numFmtId="0" fontId="15" fillId="38" borderId="24" xfId="0" applyFont="1" applyFill="1" applyBorder="1" applyAlignment="1">
      <alignment horizontal="center" vertical="center"/>
    </xf>
    <xf numFmtId="0" fontId="47" fillId="47" borderId="10" xfId="0" applyFont="1" applyFill="1" applyBorder="1" applyAlignment="1">
      <alignment horizontal="center" vertical="center"/>
    </xf>
    <xf numFmtId="0" fontId="47" fillId="47" borderId="17" xfId="0" applyFont="1" applyFill="1" applyBorder="1" applyAlignment="1">
      <alignment horizontal="center" vertical="center" wrapText="1"/>
    </xf>
    <xf numFmtId="0" fontId="47" fillId="47" borderId="25" xfId="0" applyFont="1" applyFill="1" applyBorder="1" applyAlignment="1">
      <alignment horizontal="center" vertical="center" wrapText="1"/>
    </xf>
  </cellXfs>
  <cellStyles count="49">
    <cellStyle name="20% - Énfasis1 2" xfId="1" xr:uid="{00000000-0005-0000-0000-000000000000}"/>
    <cellStyle name="20% - Énfasis2 2" xfId="2" xr:uid="{00000000-0005-0000-0000-000001000000}"/>
    <cellStyle name="20% - Énfasis3 2" xfId="3" xr:uid="{00000000-0005-0000-0000-000002000000}"/>
    <cellStyle name="20% - Énfasis4 2" xfId="4" xr:uid="{00000000-0005-0000-0000-000003000000}"/>
    <cellStyle name="20% - Énfasis5 2" xfId="5" xr:uid="{00000000-0005-0000-0000-000004000000}"/>
    <cellStyle name="20% - Énfasis6 2" xfId="6" xr:uid="{00000000-0005-0000-0000-000005000000}"/>
    <cellStyle name="40% - Énfasis1 2" xfId="7" xr:uid="{00000000-0005-0000-0000-000006000000}"/>
    <cellStyle name="40% - Énfasis2 2" xfId="8" xr:uid="{00000000-0005-0000-0000-000007000000}"/>
    <cellStyle name="40% - Énfasis3 2" xfId="9" xr:uid="{00000000-0005-0000-0000-000008000000}"/>
    <cellStyle name="40% - Énfasis4 2" xfId="10" xr:uid="{00000000-0005-0000-0000-000009000000}"/>
    <cellStyle name="40% - Énfasis5 2" xfId="11" xr:uid="{00000000-0005-0000-0000-00000A000000}"/>
    <cellStyle name="40% - Énfasis6 2" xfId="12" xr:uid="{00000000-0005-0000-0000-00000B000000}"/>
    <cellStyle name="60% - Énfasis1 2" xfId="13" xr:uid="{00000000-0005-0000-0000-00000C000000}"/>
    <cellStyle name="60% - Énfasis2 2" xfId="14" xr:uid="{00000000-0005-0000-0000-00000D000000}"/>
    <cellStyle name="60% - Énfasis3 2" xfId="15" xr:uid="{00000000-0005-0000-0000-00000E000000}"/>
    <cellStyle name="60% - Énfasis4 2" xfId="16" xr:uid="{00000000-0005-0000-0000-00000F000000}"/>
    <cellStyle name="60% - Énfasis5 2" xfId="17" xr:uid="{00000000-0005-0000-0000-000010000000}"/>
    <cellStyle name="60% - Énfasis6 2" xfId="18" xr:uid="{00000000-0005-0000-0000-000011000000}"/>
    <cellStyle name="Buena 2" xfId="19" xr:uid="{00000000-0005-0000-0000-000012000000}"/>
    <cellStyle name="Cálculo 2" xfId="20" xr:uid="{00000000-0005-0000-0000-000013000000}"/>
    <cellStyle name="Celda de comprobación 2" xfId="21" xr:uid="{00000000-0005-0000-0000-000014000000}"/>
    <cellStyle name="Celda vinculada 2" xfId="22" xr:uid="{00000000-0005-0000-0000-000015000000}"/>
    <cellStyle name="Encabezado 4 2" xfId="23" xr:uid="{00000000-0005-0000-0000-000016000000}"/>
    <cellStyle name="Énfasis1 2" xfId="24" xr:uid="{00000000-0005-0000-0000-000017000000}"/>
    <cellStyle name="Énfasis2 2" xfId="25" xr:uid="{00000000-0005-0000-0000-000018000000}"/>
    <cellStyle name="Énfasis3 2" xfId="26" xr:uid="{00000000-0005-0000-0000-000019000000}"/>
    <cellStyle name="Énfasis4 2" xfId="27" xr:uid="{00000000-0005-0000-0000-00001A000000}"/>
    <cellStyle name="Énfasis5 2" xfId="28" xr:uid="{00000000-0005-0000-0000-00001B000000}"/>
    <cellStyle name="Énfasis6 2" xfId="29" xr:uid="{00000000-0005-0000-0000-00001C000000}"/>
    <cellStyle name="Entrada 2" xfId="30" xr:uid="{00000000-0005-0000-0000-00001D000000}"/>
    <cellStyle name="Euro" xfId="31" xr:uid="{00000000-0005-0000-0000-00001E000000}"/>
    <cellStyle name="Euro 2" xfId="32" xr:uid="{00000000-0005-0000-0000-00001F000000}"/>
    <cellStyle name="Euro 3" xfId="33" xr:uid="{00000000-0005-0000-0000-000020000000}"/>
    <cellStyle name="Incorrecto 2" xfId="34" xr:uid="{00000000-0005-0000-0000-000021000000}"/>
    <cellStyle name="Neutral 2" xfId="35" xr:uid="{00000000-0005-0000-0000-000022000000}"/>
    <cellStyle name="Normal" xfId="0" builtinId="0"/>
    <cellStyle name="Normal 2" xfId="36" xr:uid="{00000000-0005-0000-0000-000024000000}"/>
    <cellStyle name="Normal 3" xfId="37" xr:uid="{00000000-0005-0000-0000-000025000000}"/>
    <cellStyle name="Normal 3 2" xfId="38" xr:uid="{00000000-0005-0000-0000-000026000000}"/>
    <cellStyle name="Normal 4" xfId="39" xr:uid="{00000000-0005-0000-0000-000027000000}"/>
    <cellStyle name="Notas 2" xfId="40" xr:uid="{00000000-0005-0000-0000-000028000000}"/>
    <cellStyle name="Salida 2" xfId="41" xr:uid="{00000000-0005-0000-0000-000029000000}"/>
    <cellStyle name="Texto de advertencia 2" xfId="42" xr:uid="{00000000-0005-0000-0000-00002A000000}"/>
    <cellStyle name="Texto explicativo 2" xfId="43" xr:uid="{00000000-0005-0000-0000-00002B000000}"/>
    <cellStyle name="Título 1 2" xfId="44" xr:uid="{00000000-0005-0000-0000-00002C000000}"/>
    <cellStyle name="Título 2 2" xfId="45" xr:uid="{00000000-0005-0000-0000-00002D000000}"/>
    <cellStyle name="Título 3 2" xfId="46" xr:uid="{00000000-0005-0000-0000-00002E000000}"/>
    <cellStyle name="Título 4" xfId="47" xr:uid="{00000000-0005-0000-0000-00002F000000}"/>
    <cellStyle name="Total 2" xfId="48" xr:uid="{00000000-0005-0000-0000-000030000000}"/>
  </cellStyles>
  <dxfs count="6">
    <dxf>
      <fill>
        <patternFill>
          <bgColor indexed="50"/>
        </patternFill>
      </fill>
    </dxf>
    <dxf>
      <font>
        <condense val="0"/>
        <extend val="0"/>
        <color auto="1"/>
      </font>
      <fill>
        <patternFill>
          <bgColor indexed="13"/>
        </patternFill>
      </fill>
    </dxf>
    <dxf>
      <font>
        <condense val="0"/>
        <extend val="0"/>
        <color indexed="9"/>
      </font>
      <fill>
        <patternFill>
          <bgColor indexed="10"/>
        </patternFill>
      </fill>
      <border>
        <left style="thin">
          <color indexed="64"/>
        </left>
        <right style="thin">
          <color indexed="64"/>
        </right>
        <top style="thin">
          <color indexed="64"/>
        </top>
        <bottom style="thin">
          <color indexed="64"/>
        </bottom>
      </border>
    </dxf>
    <dxf>
      <fill>
        <patternFill>
          <bgColor indexed="13"/>
        </patternFill>
      </fill>
    </dxf>
    <dxf>
      <font>
        <condense val="0"/>
        <extend val="0"/>
        <color indexed="9"/>
      </font>
      <fill>
        <patternFill>
          <bgColor indexed="10"/>
        </patternFill>
      </fill>
      <border>
        <left style="thin">
          <color indexed="64"/>
        </left>
        <right style="thin">
          <color indexed="64"/>
        </right>
        <top style="thin">
          <color indexed="64"/>
        </top>
        <bottom style="thin">
          <color indexed="64"/>
        </bottom>
      </border>
    </dxf>
    <dxf>
      <font>
        <condense val="0"/>
        <extend val="0"/>
        <color indexed="9"/>
      </font>
      <fill>
        <patternFill>
          <bgColor indexed="10"/>
        </patternFill>
      </fill>
      <border>
        <left style="thin">
          <color indexed="64"/>
        </left>
        <right style="thin">
          <color indexed="64"/>
        </right>
        <top style="thin">
          <color indexed="64"/>
        </top>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123825</xdr:rowOff>
    </xdr:from>
    <xdr:to>
      <xdr:col>3</xdr:col>
      <xdr:colOff>0</xdr:colOff>
      <xdr:row>0</xdr:row>
      <xdr:rowOff>476250</xdr:rowOff>
    </xdr:to>
    <xdr:pic>
      <xdr:nvPicPr>
        <xdr:cNvPr id="103389" name="Picture 3">
          <a:extLst>
            <a:ext uri="{FF2B5EF4-FFF2-40B4-BE49-F238E27FC236}">
              <a16:creationId xmlns:a16="http://schemas.microsoft.com/office/drawing/2014/main" id="{5D63B815-701B-748F-3DB4-8A1039855E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3390" name="Picture 4">
          <a:extLst>
            <a:ext uri="{FF2B5EF4-FFF2-40B4-BE49-F238E27FC236}">
              <a16:creationId xmlns:a16="http://schemas.microsoft.com/office/drawing/2014/main" id="{F8C018AD-396C-22F2-BA43-56AAC0A745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3391" name="Picture 5">
          <a:extLst>
            <a:ext uri="{FF2B5EF4-FFF2-40B4-BE49-F238E27FC236}">
              <a16:creationId xmlns:a16="http://schemas.microsoft.com/office/drawing/2014/main" id="{44837067-433C-0958-C648-6B14F4E413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3392" name="Picture 6">
          <a:extLst>
            <a:ext uri="{FF2B5EF4-FFF2-40B4-BE49-F238E27FC236}">
              <a16:creationId xmlns:a16="http://schemas.microsoft.com/office/drawing/2014/main" id="{A09C36F8-231C-0771-52FF-B690395409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3393" name="Picture 7">
          <a:extLst>
            <a:ext uri="{FF2B5EF4-FFF2-40B4-BE49-F238E27FC236}">
              <a16:creationId xmlns:a16="http://schemas.microsoft.com/office/drawing/2014/main" id="{CC71CFE2-BFE6-F6F0-201C-3038166A21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3394" name="Picture 8">
          <a:extLst>
            <a:ext uri="{FF2B5EF4-FFF2-40B4-BE49-F238E27FC236}">
              <a16:creationId xmlns:a16="http://schemas.microsoft.com/office/drawing/2014/main" id="{5A35AC77-C5F6-4E63-C2A5-B7FE800B08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3395" name="Picture 9">
          <a:extLst>
            <a:ext uri="{FF2B5EF4-FFF2-40B4-BE49-F238E27FC236}">
              <a16:creationId xmlns:a16="http://schemas.microsoft.com/office/drawing/2014/main" id="{62933437-6674-B5FA-CCB8-95643D9084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3396" name="Picture 10">
          <a:extLst>
            <a:ext uri="{FF2B5EF4-FFF2-40B4-BE49-F238E27FC236}">
              <a16:creationId xmlns:a16="http://schemas.microsoft.com/office/drawing/2014/main" id="{D1C15D3A-F12E-44E4-E742-0442582FA8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3397" name="Picture 11">
          <a:extLst>
            <a:ext uri="{FF2B5EF4-FFF2-40B4-BE49-F238E27FC236}">
              <a16:creationId xmlns:a16="http://schemas.microsoft.com/office/drawing/2014/main" id="{02BB491B-1828-7E92-BAA2-29F781CCC1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3398" name="Picture 12">
          <a:extLst>
            <a:ext uri="{FF2B5EF4-FFF2-40B4-BE49-F238E27FC236}">
              <a16:creationId xmlns:a16="http://schemas.microsoft.com/office/drawing/2014/main" id="{8D79837B-B90C-DF13-CB62-06978831C4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3399" name="Picture 13">
          <a:extLst>
            <a:ext uri="{FF2B5EF4-FFF2-40B4-BE49-F238E27FC236}">
              <a16:creationId xmlns:a16="http://schemas.microsoft.com/office/drawing/2014/main" id="{AC2D8D7E-AF11-086F-5F5A-998393F71A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3400" name="Picture 14">
          <a:extLst>
            <a:ext uri="{FF2B5EF4-FFF2-40B4-BE49-F238E27FC236}">
              <a16:creationId xmlns:a16="http://schemas.microsoft.com/office/drawing/2014/main" id="{5FCBFA91-B7BD-32E3-A0ED-86242A6EE2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3401" name="Picture 15">
          <a:extLst>
            <a:ext uri="{FF2B5EF4-FFF2-40B4-BE49-F238E27FC236}">
              <a16:creationId xmlns:a16="http://schemas.microsoft.com/office/drawing/2014/main" id="{54496DF3-E373-10BC-6E13-D45825F000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3402" name="Picture 16">
          <a:extLst>
            <a:ext uri="{FF2B5EF4-FFF2-40B4-BE49-F238E27FC236}">
              <a16:creationId xmlns:a16="http://schemas.microsoft.com/office/drawing/2014/main" id="{9065E913-8C20-3FEF-22D9-C379817C01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3403" name="Picture 17">
          <a:extLst>
            <a:ext uri="{FF2B5EF4-FFF2-40B4-BE49-F238E27FC236}">
              <a16:creationId xmlns:a16="http://schemas.microsoft.com/office/drawing/2014/main" id="{66067214-84DC-F07F-023F-CF7F8EFD9B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3404" name="Picture 18">
          <a:extLst>
            <a:ext uri="{FF2B5EF4-FFF2-40B4-BE49-F238E27FC236}">
              <a16:creationId xmlns:a16="http://schemas.microsoft.com/office/drawing/2014/main" id="{113407BF-A841-42CE-534C-C27AF5C290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3405" name="Picture 19">
          <a:extLst>
            <a:ext uri="{FF2B5EF4-FFF2-40B4-BE49-F238E27FC236}">
              <a16:creationId xmlns:a16="http://schemas.microsoft.com/office/drawing/2014/main" id="{E3167173-4A99-B849-4957-9C502163BA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3406" name="Picture 20">
          <a:extLst>
            <a:ext uri="{FF2B5EF4-FFF2-40B4-BE49-F238E27FC236}">
              <a16:creationId xmlns:a16="http://schemas.microsoft.com/office/drawing/2014/main" id="{5DF1765D-F9EC-62D1-10CE-5BE093F781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3407" name="Picture 21">
          <a:extLst>
            <a:ext uri="{FF2B5EF4-FFF2-40B4-BE49-F238E27FC236}">
              <a16:creationId xmlns:a16="http://schemas.microsoft.com/office/drawing/2014/main" id="{1BD913F9-8FBB-C7AB-CC4E-1A46E7FF95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3408" name="Picture 22">
          <a:extLst>
            <a:ext uri="{FF2B5EF4-FFF2-40B4-BE49-F238E27FC236}">
              <a16:creationId xmlns:a16="http://schemas.microsoft.com/office/drawing/2014/main" id="{506955ED-74C7-B4F8-A7EC-3FBEC29D50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3409" name="Picture 23">
          <a:extLst>
            <a:ext uri="{FF2B5EF4-FFF2-40B4-BE49-F238E27FC236}">
              <a16:creationId xmlns:a16="http://schemas.microsoft.com/office/drawing/2014/main" id="{3C438579-CFA4-039B-BC9A-1EE25068D0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3410" name="Picture 24">
          <a:extLst>
            <a:ext uri="{FF2B5EF4-FFF2-40B4-BE49-F238E27FC236}">
              <a16:creationId xmlns:a16="http://schemas.microsoft.com/office/drawing/2014/main" id="{B153E791-93F8-C79C-1157-761ADE23C0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3411" name="Picture 25">
          <a:extLst>
            <a:ext uri="{FF2B5EF4-FFF2-40B4-BE49-F238E27FC236}">
              <a16:creationId xmlns:a16="http://schemas.microsoft.com/office/drawing/2014/main" id="{9B76130A-C37D-88BE-4614-1E6E92FE2C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3412" name="Picture 26">
          <a:extLst>
            <a:ext uri="{FF2B5EF4-FFF2-40B4-BE49-F238E27FC236}">
              <a16:creationId xmlns:a16="http://schemas.microsoft.com/office/drawing/2014/main" id="{355E674C-ADB5-F36E-F802-5074CB7EC0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3413" name="Picture 27">
          <a:extLst>
            <a:ext uri="{FF2B5EF4-FFF2-40B4-BE49-F238E27FC236}">
              <a16:creationId xmlns:a16="http://schemas.microsoft.com/office/drawing/2014/main" id="{B2D9B3B7-8223-FAF2-70B2-7C1D72584B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3414" name="Picture 28">
          <a:extLst>
            <a:ext uri="{FF2B5EF4-FFF2-40B4-BE49-F238E27FC236}">
              <a16:creationId xmlns:a16="http://schemas.microsoft.com/office/drawing/2014/main" id="{CFE842AC-2F9F-C832-CD3D-9319F313D0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3415" name="Picture 29">
          <a:extLst>
            <a:ext uri="{FF2B5EF4-FFF2-40B4-BE49-F238E27FC236}">
              <a16:creationId xmlns:a16="http://schemas.microsoft.com/office/drawing/2014/main" id="{F1B23A4F-B1D7-EF79-D891-9FB2BE40EC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3416" name="Picture 30">
          <a:extLst>
            <a:ext uri="{FF2B5EF4-FFF2-40B4-BE49-F238E27FC236}">
              <a16:creationId xmlns:a16="http://schemas.microsoft.com/office/drawing/2014/main" id="{84879D74-38A3-36AE-0CC5-32C291CD92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3417" name="Picture 31">
          <a:extLst>
            <a:ext uri="{FF2B5EF4-FFF2-40B4-BE49-F238E27FC236}">
              <a16:creationId xmlns:a16="http://schemas.microsoft.com/office/drawing/2014/main" id="{00615BE1-AFB4-426D-C86A-1961C5A420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3418" name="Picture 32">
          <a:extLst>
            <a:ext uri="{FF2B5EF4-FFF2-40B4-BE49-F238E27FC236}">
              <a16:creationId xmlns:a16="http://schemas.microsoft.com/office/drawing/2014/main" id="{56B322A1-C355-F3A7-C1D2-E4F132AABD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3419" name="Picture 33">
          <a:extLst>
            <a:ext uri="{FF2B5EF4-FFF2-40B4-BE49-F238E27FC236}">
              <a16:creationId xmlns:a16="http://schemas.microsoft.com/office/drawing/2014/main" id="{E022AB7E-5776-0169-15AD-B3E2AA5F81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3420" name="Picture 34">
          <a:extLst>
            <a:ext uri="{FF2B5EF4-FFF2-40B4-BE49-F238E27FC236}">
              <a16:creationId xmlns:a16="http://schemas.microsoft.com/office/drawing/2014/main" id="{993976E9-E679-2E69-2760-EA0D0EAA89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3421" name="Picture 35">
          <a:extLst>
            <a:ext uri="{FF2B5EF4-FFF2-40B4-BE49-F238E27FC236}">
              <a16:creationId xmlns:a16="http://schemas.microsoft.com/office/drawing/2014/main" id="{D14700C1-FDE2-57F6-CD35-64290145AA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3422" name="Picture 36">
          <a:extLst>
            <a:ext uri="{FF2B5EF4-FFF2-40B4-BE49-F238E27FC236}">
              <a16:creationId xmlns:a16="http://schemas.microsoft.com/office/drawing/2014/main" id="{2AB2CA41-F750-0E9C-DF31-CC6A195208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3423" name="Picture 37">
          <a:extLst>
            <a:ext uri="{FF2B5EF4-FFF2-40B4-BE49-F238E27FC236}">
              <a16:creationId xmlns:a16="http://schemas.microsoft.com/office/drawing/2014/main" id="{321DA65A-E36F-F3D4-184E-2C4F58A0D8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472" name="Picture 38">
          <a:extLst>
            <a:ext uri="{FF2B5EF4-FFF2-40B4-BE49-F238E27FC236}">
              <a16:creationId xmlns:a16="http://schemas.microsoft.com/office/drawing/2014/main" id="{5897A227-3219-2914-EB0A-3EE44DA68D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473" name="Picture 39">
          <a:extLst>
            <a:ext uri="{FF2B5EF4-FFF2-40B4-BE49-F238E27FC236}">
              <a16:creationId xmlns:a16="http://schemas.microsoft.com/office/drawing/2014/main" id="{1FA953E0-0ED7-DC1D-AB37-7066A61DB4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474" name="Picture 40">
          <a:extLst>
            <a:ext uri="{FF2B5EF4-FFF2-40B4-BE49-F238E27FC236}">
              <a16:creationId xmlns:a16="http://schemas.microsoft.com/office/drawing/2014/main" id="{C1CDFE71-CEE6-1DA1-2153-02C8FD66F7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475" name="Picture 41">
          <a:extLst>
            <a:ext uri="{FF2B5EF4-FFF2-40B4-BE49-F238E27FC236}">
              <a16:creationId xmlns:a16="http://schemas.microsoft.com/office/drawing/2014/main" id="{EA8D2D09-AF3B-C9B2-7E8C-697C509BC9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476" name="Picture 42">
          <a:extLst>
            <a:ext uri="{FF2B5EF4-FFF2-40B4-BE49-F238E27FC236}">
              <a16:creationId xmlns:a16="http://schemas.microsoft.com/office/drawing/2014/main" id="{1036E359-47CF-CEAC-F532-476252C610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477" name="Picture 43">
          <a:extLst>
            <a:ext uri="{FF2B5EF4-FFF2-40B4-BE49-F238E27FC236}">
              <a16:creationId xmlns:a16="http://schemas.microsoft.com/office/drawing/2014/main" id="{E108A1F2-2B60-FF8E-6686-815BD14603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478" name="Picture 44">
          <a:extLst>
            <a:ext uri="{FF2B5EF4-FFF2-40B4-BE49-F238E27FC236}">
              <a16:creationId xmlns:a16="http://schemas.microsoft.com/office/drawing/2014/main" id="{4FBB8C4F-0986-4E04-CFBE-D35D064EB0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479" name="Picture 45">
          <a:extLst>
            <a:ext uri="{FF2B5EF4-FFF2-40B4-BE49-F238E27FC236}">
              <a16:creationId xmlns:a16="http://schemas.microsoft.com/office/drawing/2014/main" id="{F07C8192-F33B-5AE2-35A5-A6714251B2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480" name="Picture 46">
          <a:extLst>
            <a:ext uri="{FF2B5EF4-FFF2-40B4-BE49-F238E27FC236}">
              <a16:creationId xmlns:a16="http://schemas.microsoft.com/office/drawing/2014/main" id="{602C42E1-F633-A949-923A-3DA93CAB80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481" name="Picture 47">
          <a:extLst>
            <a:ext uri="{FF2B5EF4-FFF2-40B4-BE49-F238E27FC236}">
              <a16:creationId xmlns:a16="http://schemas.microsoft.com/office/drawing/2014/main" id="{1847914D-2173-9B36-23CF-57A7E0834E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482" name="Picture 48">
          <a:extLst>
            <a:ext uri="{FF2B5EF4-FFF2-40B4-BE49-F238E27FC236}">
              <a16:creationId xmlns:a16="http://schemas.microsoft.com/office/drawing/2014/main" id="{B0C8EFD3-251D-E1EF-AC91-5CFA4409D6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483" name="Picture 49">
          <a:extLst>
            <a:ext uri="{FF2B5EF4-FFF2-40B4-BE49-F238E27FC236}">
              <a16:creationId xmlns:a16="http://schemas.microsoft.com/office/drawing/2014/main" id="{8F79C0D2-898A-B675-F8D2-C35D20F14B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484" name="Picture 50">
          <a:extLst>
            <a:ext uri="{FF2B5EF4-FFF2-40B4-BE49-F238E27FC236}">
              <a16:creationId xmlns:a16="http://schemas.microsoft.com/office/drawing/2014/main" id="{D759BDC6-DAEB-B36C-C353-62E3ADC79B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485" name="Picture 51">
          <a:extLst>
            <a:ext uri="{FF2B5EF4-FFF2-40B4-BE49-F238E27FC236}">
              <a16:creationId xmlns:a16="http://schemas.microsoft.com/office/drawing/2014/main" id="{982F6B70-4655-2EA8-1386-5157DF3C56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486" name="Picture 52">
          <a:extLst>
            <a:ext uri="{FF2B5EF4-FFF2-40B4-BE49-F238E27FC236}">
              <a16:creationId xmlns:a16="http://schemas.microsoft.com/office/drawing/2014/main" id="{1402219D-A29E-BB52-9A3A-CAF71CCAB2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487" name="Picture 53">
          <a:extLst>
            <a:ext uri="{FF2B5EF4-FFF2-40B4-BE49-F238E27FC236}">
              <a16:creationId xmlns:a16="http://schemas.microsoft.com/office/drawing/2014/main" id="{86653BC7-9383-F80C-C3A6-F6E03DCA3F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488" name="Picture 54">
          <a:extLst>
            <a:ext uri="{FF2B5EF4-FFF2-40B4-BE49-F238E27FC236}">
              <a16:creationId xmlns:a16="http://schemas.microsoft.com/office/drawing/2014/main" id="{5F2EDB85-EC1C-5294-5820-D866C45124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489" name="Picture 55">
          <a:extLst>
            <a:ext uri="{FF2B5EF4-FFF2-40B4-BE49-F238E27FC236}">
              <a16:creationId xmlns:a16="http://schemas.microsoft.com/office/drawing/2014/main" id="{F6036864-F0AE-86A9-789A-81413D6DDC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490" name="Picture 56">
          <a:extLst>
            <a:ext uri="{FF2B5EF4-FFF2-40B4-BE49-F238E27FC236}">
              <a16:creationId xmlns:a16="http://schemas.microsoft.com/office/drawing/2014/main" id="{03C93125-5400-5DB7-D382-80E5EEA6DD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491" name="Picture 57">
          <a:extLst>
            <a:ext uri="{FF2B5EF4-FFF2-40B4-BE49-F238E27FC236}">
              <a16:creationId xmlns:a16="http://schemas.microsoft.com/office/drawing/2014/main" id="{FE651688-559A-7D4B-CFAE-8E652E47DE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492" name="Picture 58">
          <a:extLst>
            <a:ext uri="{FF2B5EF4-FFF2-40B4-BE49-F238E27FC236}">
              <a16:creationId xmlns:a16="http://schemas.microsoft.com/office/drawing/2014/main" id="{9385396C-0098-734F-D6F7-4D706E4345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493" name="Picture 59">
          <a:extLst>
            <a:ext uri="{FF2B5EF4-FFF2-40B4-BE49-F238E27FC236}">
              <a16:creationId xmlns:a16="http://schemas.microsoft.com/office/drawing/2014/main" id="{16590042-A320-8663-A3BB-745147D846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494" name="Picture 60">
          <a:extLst>
            <a:ext uri="{FF2B5EF4-FFF2-40B4-BE49-F238E27FC236}">
              <a16:creationId xmlns:a16="http://schemas.microsoft.com/office/drawing/2014/main" id="{E430356C-2C75-1BEB-9D80-3921AEE4EE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495" name="Picture 61">
          <a:extLst>
            <a:ext uri="{FF2B5EF4-FFF2-40B4-BE49-F238E27FC236}">
              <a16:creationId xmlns:a16="http://schemas.microsoft.com/office/drawing/2014/main" id="{2857245C-103B-3E2A-38FA-CCC7600ED8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496" name="Picture 62">
          <a:extLst>
            <a:ext uri="{FF2B5EF4-FFF2-40B4-BE49-F238E27FC236}">
              <a16:creationId xmlns:a16="http://schemas.microsoft.com/office/drawing/2014/main" id="{54659336-C6E1-BE5D-5D74-1F4372268F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497" name="Picture 63">
          <a:extLst>
            <a:ext uri="{FF2B5EF4-FFF2-40B4-BE49-F238E27FC236}">
              <a16:creationId xmlns:a16="http://schemas.microsoft.com/office/drawing/2014/main" id="{52E1FC94-95D6-957E-18E9-95EB0F54C3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498" name="Picture 64">
          <a:extLst>
            <a:ext uri="{FF2B5EF4-FFF2-40B4-BE49-F238E27FC236}">
              <a16:creationId xmlns:a16="http://schemas.microsoft.com/office/drawing/2014/main" id="{C3A35019-78A4-2321-B00A-E0A7DC5707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499" name="Picture 65">
          <a:extLst>
            <a:ext uri="{FF2B5EF4-FFF2-40B4-BE49-F238E27FC236}">
              <a16:creationId xmlns:a16="http://schemas.microsoft.com/office/drawing/2014/main" id="{412C514A-2426-41E4-7EE1-22282FE2CE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00" name="Picture 66">
          <a:extLst>
            <a:ext uri="{FF2B5EF4-FFF2-40B4-BE49-F238E27FC236}">
              <a16:creationId xmlns:a16="http://schemas.microsoft.com/office/drawing/2014/main" id="{C7C60342-8AC1-D3F2-AC3F-17BE72E7B4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01" name="Picture 67">
          <a:extLst>
            <a:ext uri="{FF2B5EF4-FFF2-40B4-BE49-F238E27FC236}">
              <a16:creationId xmlns:a16="http://schemas.microsoft.com/office/drawing/2014/main" id="{4B5085C1-06C3-1E39-EAEF-137D7BDC9C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02" name="Picture 68">
          <a:extLst>
            <a:ext uri="{FF2B5EF4-FFF2-40B4-BE49-F238E27FC236}">
              <a16:creationId xmlns:a16="http://schemas.microsoft.com/office/drawing/2014/main" id="{081BEC32-15F9-A551-96B2-A6724775D2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03" name="Picture 69">
          <a:extLst>
            <a:ext uri="{FF2B5EF4-FFF2-40B4-BE49-F238E27FC236}">
              <a16:creationId xmlns:a16="http://schemas.microsoft.com/office/drawing/2014/main" id="{32F01046-D852-A7BF-BBB2-3EBED88879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04" name="Picture 70">
          <a:extLst>
            <a:ext uri="{FF2B5EF4-FFF2-40B4-BE49-F238E27FC236}">
              <a16:creationId xmlns:a16="http://schemas.microsoft.com/office/drawing/2014/main" id="{63B6DBA5-4E30-13D6-9136-35BCAEAD49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05" name="Picture 71">
          <a:extLst>
            <a:ext uri="{FF2B5EF4-FFF2-40B4-BE49-F238E27FC236}">
              <a16:creationId xmlns:a16="http://schemas.microsoft.com/office/drawing/2014/main" id="{B98ED8AA-4834-7664-B8E6-9025942E45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06" name="Picture 72">
          <a:extLst>
            <a:ext uri="{FF2B5EF4-FFF2-40B4-BE49-F238E27FC236}">
              <a16:creationId xmlns:a16="http://schemas.microsoft.com/office/drawing/2014/main" id="{20BC63EC-4A65-3E7D-E5F6-036CE613DA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07" name="Picture 73">
          <a:extLst>
            <a:ext uri="{FF2B5EF4-FFF2-40B4-BE49-F238E27FC236}">
              <a16:creationId xmlns:a16="http://schemas.microsoft.com/office/drawing/2014/main" id="{19AAA918-DCED-7621-94B9-34ECB1D03A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08" name="Picture 74">
          <a:extLst>
            <a:ext uri="{FF2B5EF4-FFF2-40B4-BE49-F238E27FC236}">
              <a16:creationId xmlns:a16="http://schemas.microsoft.com/office/drawing/2014/main" id="{3CFCA107-FC88-D233-D382-DCE554689B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09" name="Picture 75">
          <a:extLst>
            <a:ext uri="{FF2B5EF4-FFF2-40B4-BE49-F238E27FC236}">
              <a16:creationId xmlns:a16="http://schemas.microsoft.com/office/drawing/2014/main" id="{092826F4-D9B9-0727-003F-1C16635DE5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10" name="Picture 76">
          <a:extLst>
            <a:ext uri="{FF2B5EF4-FFF2-40B4-BE49-F238E27FC236}">
              <a16:creationId xmlns:a16="http://schemas.microsoft.com/office/drawing/2014/main" id="{59E80A09-BAA5-4933-4F39-CABC35690A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11" name="Picture 77">
          <a:extLst>
            <a:ext uri="{FF2B5EF4-FFF2-40B4-BE49-F238E27FC236}">
              <a16:creationId xmlns:a16="http://schemas.microsoft.com/office/drawing/2014/main" id="{6AC905F9-829D-D310-8C3C-3C528D1648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12" name="Picture 78">
          <a:extLst>
            <a:ext uri="{FF2B5EF4-FFF2-40B4-BE49-F238E27FC236}">
              <a16:creationId xmlns:a16="http://schemas.microsoft.com/office/drawing/2014/main" id="{7B573092-CCA0-1799-69DB-1AC570DA07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13" name="Picture 79">
          <a:extLst>
            <a:ext uri="{FF2B5EF4-FFF2-40B4-BE49-F238E27FC236}">
              <a16:creationId xmlns:a16="http://schemas.microsoft.com/office/drawing/2014/main" id="{66CEF305-167A-CAB6-790F-1D40C4A388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14" name="Picture 80">
          <a:extLst>
            <a:ext uri="{FF2B5EF4-FFF2-40B4-BE49-F238E27FC236}">
              <a16:creationId xmlns:a16="http://schemas.microsoft.com/office/drawing/2014/main" id="{5181D3B8-A96D-2D58-093A-ECD4BF6E4E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15" name="Picture 81">
          <a:extLst>
            <a:ext uri="{FF2B5EF4-FFF2-40B4-BE49-F238E27FC236}">
              <a16:creationId xmlns:a16="http://schemas.microsoft.com/office/drawing/2014/main" id="{DF0D03EB-84A0-A998-F378-78A4EF584F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16" name="Picture 82">
          <a:extLst>
            <a:ext uri="{FF2B5EF4-FFF2-40B4-BE49-F238E27FC236}">
              <a16:creationId xmlns:a16="http://schemas.microsoft.com/office/drawing/2014/main" id="{823E8001-A06C-47A5-3611-F5AA66F567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17" name="Picture 83">
          <a:extLst>
            <a:ext uri="{FF2B5EF4-FFF2-40B4-BE49-F238E27FC236}">
              <a16:creationId xmlns:a16="http://schemas.microsoft.com/office/drawing/2014/main" id="{D2E2A8F7-21BB-4E08-C140-F286F248E2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18" name="Picture 84">
          <a:extLst>
            <a:ext uri="{FF2B5EF4-FFF2-40B4-BE49-F238E27FC236}">
              <a16:creationId xmlns:a16="http://schemas.microsoft.com/office/drawing/2014/main" id="{AF78E3E2-55B8-4994-4DEE-D32FB22A66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19" name="Picture 85">
          <a:extLst>
            <a:ext uri="{FF2B5EF4-FFF2-40B4-BE49-F238E27FC236}">
              <a16:creationId xmlns:a16="http://schemas.microsoft.com/office/drawing/2014/main" id="{363D4E39-0946-1109-1356-8D4C030FFA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20" name="Picture 86">
          <a:extLst>
            <a:ext uri="{FF2B5EF4-FFF2-40B4-BE49-F238E27FC236}">
              <a16:creationId xmlns:a16="http://schemas.microsoft.com/office/drawing/2014/main" id="{799DFDC3-E1A2-3ADA-3456-278A394F5E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21" name="Picture 87">
          <a:extLst>
            <a:ext uri="{FF2B5EF4-FFF2-40B4-BE49-F238E27FC236}">
              <a16:creationId xmlns:a16="http://schemas.microsoft.com/office/drawing/2014/main" id="{FE6ED198-7CA2-FFAB-500E-871A8C0A3D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22" name="Picture 88">
          <a:extLst>
            <a:ext uri="{FF2B5EF4-FFF2-40B4-BE49-F238E27FC236}">
              <a16:creationId xmlns:a16="http://schemas.microsoft.com/office/drawing/2014/main" id="{87E8CE56-1F92-ABA9-196C-C36F994C47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23" name="Picture 89">
          <a:extLst>
            <a:ext uri="{FF2B5EF4-FFF2-40B4-BE49-F238E27FC236}">
              <a16:creationId xmlns:a16="http://schemas.microsoft.com/office/drawing/2014/main" id="{D34F1869-EB71-FBF6-5486-CE80DA720B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24" name="Picture 90">
          <a:extLst>
            <a:ext uri="{FF2B5EF4-FFF2-40B4-BE49-F238E27FC236}">
              <a16:creationId xmlns:a16="http://schemas.microsoft.com/office/drawing/2014/main" id="{09F6816A-4702-0810-5A16-60084FE610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25" name="Picture 91">
          <a:extLst>
            <a:ext uri="{FF2B5EF4-FFF2-40B4-BE49-F238E27FC236}">
              <a16:creationId xmlns:a16="http://schemas.microsoft.com/office/drawing/2014/main" id="{B69DB8D2-B9EB-6219-AF42-56C8381BDB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26" name="Picture 92">
          <a:extLst>
            <a:ext uri="{FF2B5EF4-FFF2-40B4-BE49-F238E27FC236}">
              <a16:creationId xmlns:a16="http://schemas.microsoft.com/office/drawing/2014/main" id="{431AD843-FC7E-C02F-939B-5E1DF8ED6D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27" name="Picture 93">
          <a:extLst>
            <a:ext uri="{FF2B5EF4-FFF2-40B4-BE49-F238E27FC236}">
              <a16:creationId xmlns:a16="http://schemas.microsoft.com/office/drawing/2014/main" id="{20DEEE74-76C0-60A7-B457-A4B16B92D1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28" name="Picture 94">
          <a:extLst>
            <a:ext uri="{FF2B5EF4-FFF2-40B4-BE49-F238E27FC236}">
              <a16:creationId xmlns:a16="http://schemas.microsoft.com/office/drawing/2014/main" id="{EC57AA4B-63A8-DA76-11AF-43E64C40CE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29" name="Picture 95">
          <a:extLst>
            <a:ext uri="{FF2B5EF4-FFF2-40B4-BE49-F238E27FC236}">
              <a16:creationId xmlns:a16="http://schemas.microsoft.com/office/drawing/2014/main" id="{9980DBB2-C33A-5565-BDF6-DAB9E7F9BC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30" name="Picture 96">
          <a:extLst>
            <a:ext uri="{FF2B5EF4-FFF2-40B4-BE49-F238E27FC236}">
              <a16:creationId xmlns:a16="http://schemas.microsoft.com/office/drawing/2014/main" id="{BA879D09-C544-2180-021D-101D11BB7C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31" name="Picture 97">
          <a:extLst>
            <a:ext uri="{FF2B5EF4-FFF2-40B4-BE49-F238E27FC236}">
              <a16:creationId xmlns:a16="http://schemas.microsoft.com/office/drawing/2014/main" id="{38701F1A-0AE0-9E47-064D-A4828FCF7D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32" name="Picture 98">
          <a:extLst>
            <a:ext uri="{FF2B5EF4-FFF2-40B4-BE49-F238E27FC236}">
              <a16:creationId xmlns:a16="http://schemas.microsoft.com/office/drawing/2014/main" id="{0C17CF44-CEF9-CAEC-1500-C544D4F517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33" name="Picture 99">
          <a:extLst>
            <a:ext uri="{FF2B5EF4-FFF2-40B4-BE49-F238E27FC236}">
              <a16:creationId xmlns:a16="http://schemas.microsoft.com/office/drawing/2014/main" id="{299C68BE-7C72-0F26-A15F-E0AB531CFE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34" name="Picture 100">
          <a:extLst>
            <a:ext uri="{FF2B5EF4-FFF2-40B4-BE49-F238E27FC236}">
              <a16:creationId xmlns:a16="http://schemas.microsoft.com/office/drawing/2014/main" id="{ED381712-6DBD-59B8-F6C3-EF995FC565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35" name="Picture 101">
          <a:extLst>
            <a:ext uri="{FF2B5EF4-FFF2-40B4-BE49-F238E27FC236}">
              <a16:creationId xmlns:a16="http://schemas.microsoft.com/office/drawing/2014/main" id="{3352236E-F44D-62C4-5666-43CAFBAF1B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36" name="Picture 102">
          <a:extLst>
            <a:ext uri="{FF2B5EF4-FFF2-40B4-BE49-F238E27FC236}">
              <a16:creationId xmlns:a16="http://schemas.microsoft.com/office/drawing/2014/main" id="{BD964EFF-C12B-B364-5871-528959A550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37" name="Picture 103">
          <a:extLst>
            <a:ext uri="{FF2B5EF4-FFF2-40B4-BE49-F238E27FC236}">
              <a16:creationId xmlns:a16="http://schemas.microsoft.com/office/drawing/2014/main" id="{477E8AB7-CF0A-67A9-18F9-5DB9DC25AB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38" name="Picture 104">
          <a:extLst>
            <a:ext uri="{FF2B5EF4-FFF2-40B4-BE49-F238E27FC236}">
              <a16:creationId xmlns:a16="http://schemas.microsoft.com/office/drawing/2014/main" id="{DEAED4CB-6ACF-E798-0EC7-35F2D96CCE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39" name="Picture 105">
          <a:extLst>
            <a:ext uri="{FF2B5EF4-FFF2-40B4-BE49-F238E27FC236}">
              <a16:creationId xmlns:a16="http://schemas.microsoft.com/office/drawing/2014/main" id="{51B3C7C0-D42D-9516-F74E-C6125D74D6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40" name="Picture 106">
          <a:extLst>
            <a:ext uri="{FF2B5EF4-FFF2-40B4-BE49-F238E27FC236}">
              <a16:creationId xmlns:a16="http://schemas.microsoft.com/office/drawing/2014/main" id="{815423BD-C709-1B0F-2FC6-A31AAE39F3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41" name="Picture 107">
          <a:extLst>
            <a:ext uri="{FF2B5EF4-FFF2-40B4-BE49-F238E27FC236}">
              <a16:creationId xmlns:a16="http://schemas.microsoft.com/office/drawing/2014/main" id="{1DAF2D32-FE6E-92F0-5F73-1AFF93E841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42" name="Picture 108">
          <a:extLst>
            <a:ext uri="{FF2B5EF4-FFF2-40B4-BE49-F238E27FC236}">
              <a16:creationId xmlns:a16="http://schemas.microsoft.com/office/drawing/2014/main" id="{F72A670A-362A-4821-1CB7-F4B74B972E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43" name="Picture 109">
          <a:extLst>
            <a:ext uri="{FF2B5EF4-FFF2-40B4-BE49-F238E27FC236}">
              <a16:creationId xmlns:a16="http://schemas.microsoft.com/office/drawing/2014/main" id="{774AC703-5672-9805-B82A-732C33ACED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44" name="Picture 110">
          <a:extLst>
            <a:ext uri="{FF2B5EF4-FFF2-40B4-BE49-F238E27FC236}">
              <a16:creationId xmlns:a16="http://schemas.microsoft.com/office/drawing/2014/main" id="{A764425F-395F-F4C2-1BCD-D2F3256A24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45" name="Picture 111">
          <a:extLst>
            <a:ext uri="{FF2B5EF4-FFF2-40B4-BE49-F238E27FC236}">
              <a16:creationId xmlns:a16="http://schemas.microsoft.com/office/drawing/2014/main" id="{91B632AE-F3FD-13E4-27CD-9459645FC7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46" name="Picture 112">
          <a:extLst>
            <a:ext uri="{FF2B5EF4-FFF2-40B4-BE49-F238E27FC236}">
              <a16:creationId xmlns:a16="http://schemas.microsoft.com/office/drawing/2014/main" id="{2EDA2694-505D-5343-F5AC-D5D2D7D5D8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47" name="Picture 113">
          <a:extLst>
            <a:ext uri="{FF2B5EF4-FFF2-40B4-BE49-F238E27FC236}">
              <a16:creationId xmlns:a16="http://schemas.microsoft.com/office/drawing/2014/main" id="{B13504CA-145A-F3CA-2042-7E2B2C6490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48" name="Picture 114">
          <a:extLst>
            <a:ext uri="{FF2B5EF4-FFF2-40B4-BE49-F238E27FC236}">
              <a16:creationId xmlns:a16="http://schemas.microsoft.com/office/drawing/2014/main" id="{857D0D9D-3B29-0183-43D8-EE68590419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49" name="Picture 115">
          <a:extLst>
            <a:ext uri="{FF2B5EF4-FFF2-40B4-BE49-F238E27FC236}">
              <a16:creationId xmlns:a16="http://schemas.microsoft.com/office/drawing/2014/main" id="{1BC14983-88C1-1F41-E0B7-CBEBDD66D4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50" name="Picture 116">
          <a:extLst>
            <a:ext uri="{FF2B5EF4-FFF2-40B4-BE49-F238E27FC236}">
              <a16:creationId xmlns:a16="http://schemas.microsoft.com/office/drawing/2014/main" id="{EE981DB7-07A7-03F5-06B1-1068FB3CAD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51" name="Picture 117">
          <a:extLst>
            <a:ext uri="{FF2B5EF4-FFF2-40B4-BE49-F238E27FC236}">
              <a16:creationId xmlns:a16="http://schemas.microsoft.com/office/drawing/2014/main" id="{956C815D-43A5-4183-873A-14D9AA1C1F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52" name="Picture 118">
          <a:extLst>
            <a:ext uri="{FF2B5EF4-FFF2-40B4-BE49-F238E27FC236}">
              <a16:creationId xmlns:a16="http://schemas.microsoft.com/office/drawing/2014/main" id="{7A54408D-1ABB-50A7-7384-44465FBA1F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53" name="Picture 119">
          <a:extLst>
            <a:ext uri="{FF2B5EF4-FFF2-40B4-BE49-F238E27FC236}">
              <a16:creationId xmlns:a16="http://schemas.microsoft.com/office/drawing/2014/main" id="{F337C987-B4AB-32EF-14E4-C4677A1BCF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54" name="Picture 120">
          <a:extLst>
            <a:ext uri="{FF2B5EF4-FFF2-40B4-BE49-F238E27FC236}">
              <a16:creationId xmlns:a16="http://schemas.microsoft.com/office/drawing/2014/main" id="{F04274EB-8F18-8FBF-6CAD-A0E281BE32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55" name="Picture 121">
          <a:extLst>
            <a:ext uri="{FF2B5EF4-FFF2-40B4-BE49-F238E27FC236}">
              <a16:creationId xmlns:a16="http://schemas.microsoft.com/office/drawing/2014/main" id="{CD793CF1-12E1-0691-AD81-F0E030457A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56" name="Picture 122">
          <a:extLst>
            <a:ext uri="{FF2B5EF4-FFF2-40B4-BE49-F238E27FC236}">
              <a16:creationId xmlns:a16="http://schemas.microsoft.com/office/drawing/2014/main" id="{E96DE158-65C0-CC15-4236-17E840361C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57" name="Picture 123">
          <a:extLst>
            <a:ext uri="{FF2B5EF4-FFF2-40B4-BE49-F238E27FC236}">
              <a16:creationId xmlns:a16="http://schemas.microsoft.com/office/drawing/2014/main" id="{11230AE1-40CF-A824-0F2F-3BF80C02E8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58" name="Picture 124">
          <a:extLst>
            <a:ext uri="{FF2B5EF4-FFF2-40B4-BE49-F238E27FC236}">
              <a16:creationId xmlns:a16="http://schemas.microsoft.com/office/drawing/2014/main" id="{49CB7EF7-C36C-9108-A02F-C44352E8B2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59" name="Picture 125">
          <a:extLst>
            <a:ext uri="{FF2B5EF4-FFF2-40B4-BE49-F238E27FC236}">
              <a16:creationId xmlns:a16="http://schemas.microsoft.com/office/drawing/2014/main" id="{E4CFFC0F-76CD-57B6-F3DE-9B2C7F1285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60" name="Picture 126">
          <a:extLst>
            <a:ext uri="{FF2B5EF4-FFF2-40B4-BE49-F238E27FC236}">
              <a16:creationId xmlns:a16="http://schemas.microsoft.com/office/drawing/2014/main" id="{66235663-192F-0F53-4C3F-9CE854CD49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61" name="Picture 127">
          <a:extLst>
            <a:ext uri="{FF2B5EF4-FFF2-40B4-BE49-F238E27FC236}">
              <a16:creationId xmlns:a16="http://schemas.microsoft.com/office/drawing/2014/main" id="{94E11577-5907-27C0-57F8-D3A3A16BB0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3</xdr:col>
      <xdr:colOff>0</xdr:colOff>
      <xdr:row>0</xdr:row>
      <xdr:rowOff>123825</xdr:rowOff>
    </xdr:from>
    <xdr:to>
      <xdr:col>3</xdr:col>
      <xdr:colOff>0</xdr:colOff>
      <xdr:row>0</xdr:row>
      <xdr:rowOff>476250</xdr:rowOff>
    </xdr:to>
    <xdr:pic>
      <xdr:nvPicPr>
        <xdr:cNvPr id="105562" name="Picture 128">
          <a:extLst>
            <a:ext uri="{FF2B5EF4-FFF2-40B4-BE49-F238E27FC236}">
              <a16:creationId xmlns:a16="http://schemas.microsoft.com/office/drawing/2014/main" id="{25C7F2AF-2271-9796-D408-35094E4DD6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825" y="123825"/>
          <a:ext cx="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2</xdr:row>
      <xdr:rowOff>123825</xdr:rowOff>
    </xdr:from>
    <xdr:to>
      <xdr:col>4</xdr:col>
      <xdr:colOff>0</xdr:colOff>
      <xdr:row>2</xdr:row>
      <xdr:rowOff>476250</xdr:rowOff>
    </xdr:to>
    <xdr:pic>
      <xdr:nvPicPr>
        <xdr:cNvPr id="104280" name="Picture 16">
          <a:extLst>
            <a:ext uri="{FF2B5EF4-FFF2-40B4-BE49-F238E27FC236}">
              <a16:creationId xmlns:a16="http://schemas.microsoft.com/office/drawing/2014/main" id="{26E0D4AD-E726-BCCF-0F5A-0BDED32791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281" name="Picture 17">
          <a:extLst>
            <a:ext uri="{FF2B5EF4-FFF2-40B4-BE49-F238E27FC236}">
              <a16:creationId xmlns:a16="http://schemas.microsoft.com/office/drawing/2014/main" id="{45E23F4A-F514-4355-2EF6-12E118113D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282" name="Picture 18">
          <a:extLst>
            <a:ext uri="{FF2B5EF4-FFF2-40B4-BE49-F238E27FC236}">
              <a16:creationId xmlns:a16="http://schemas.microsoft.com/office/drawing/2014/main" id="{D8195B19-9007-CFC8-EDA8-6C20015C69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283" name="Picture 19">
          <a:extLst>
            <a:ext uri="{FF2B5EF4-FFF2-40B4-BE49-F238E27FC236}">
              <a16:creationId xmlns:a16="http://schemas.microsoft.com/office/drawing/2014/main" id="{8999C9D8-9C16-A8E1-3DB3-6DCB0DB134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284" name="Picture 20">
          <a:extLst>
            <a:ext uri="{FF2B5EF4-FFF2-40B4-BE49-F238E27FC236}">
              <a16:creationId xmlns:a16="http://schemas.microsoft.com/office/drawing/2014/main" id="{24EA5F16-6166-6AEF-FAE9-3FE367AF87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285" name="Picture 21">
          <a:extLst>
            <a:ext uri="{FF2B5EF4-FFF2-40B4-BE49-F238E27FC236}">
              <a16:creationId xmlns:a16="http://schemas.microsoft.com/office/drawing/2014/main" id="{48EEE03E-BAD3-0EE9-B8B8-09A44CD9D0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286" name="Picture 22">
          <a:extLst>
            <a:ext uri="{FF2B5EF4-FFF2-40B4-BE49-F238E27FC236}">
              <a16:creationId xmlns:a16="http://schemas.microsoft.com/office/drawing/2014/main" id="{0FFA9040-BE18-7745-A11D-12FCE08684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287" name="Picture 23">
          <a:extLst>
            <a:ext uri="{FF2B5EF4-FFF2-40B4-BE49-F238E27FC236}">
              <a16:creationId xmlns:a16="http://schemas.microsoft.com/office/drawing/2014/main" id="{187FD5D6-51E6-5DD4-4676-2AB12DC706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288" name="Picture 24">
          <a:extLst>
            <a:ext uri="{FF2B5EF4-FFF2-40B4-BE49-F238E27FC236}">
              <a16:creationId xmlns:a16="http://schemas.microsoft.com/office/drawing/2014/main" id="{67F9E704-87B4-0F65-41A8-427B424B7D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289" name="Picture 25">
          <a:extLst>
            <a:ext uri="{FF2B5EF4-FFF2-40B4-BE49-F238E27FC236}">
              <a16:creationId xmlns:a16="http://schemas.microsoft.com/office/drawing/2014/main" id="{47974B69-FD84-E392-5C6D-84B21A801B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290" name="Picture 26">
          <a:extLst>
            <a:ext uri="{FF2B5EF4-FFF2-40B4-BE49-F238E27FC236}">
              <a16:creationId xmlns:a16="http://schemas.microsoft.com/office/drawing/2014/main" id="{00AFE467-0CC8-6EF9-5B0D-B80306BE6E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291" name="Picture 27">
          <a:extLst>
            <a:ext uri="{FF2B5EF4-FFF2-40B4-BE49-F238E27FC236}">
              <a16:creationId xmlns:a16="http://schemas.microsoft.com/office/drawing/2014/main" id="{6D53C4C6-64EF-F13A-19EA-948E7C97F4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292" name="Picture 28">
          <a:extLst>
            <a:ext uri="{FF2B5EF4-FFF2-40B4-BE49-F238E27FC236}">
              <a16:creationId xmlns:a16="http://schemas.microsoft.com/office/drawing/2014/main" id="{A87B0A5A-C6A8-B825-54C3-3E72FEC0A1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293" name="Picture 29">
          <a:extLst>
            <a:ext uri="{FF2B5EF4-FFF2-40B4-BE49-F238E27FC236}">
              <a16:creationId xmlns:a16="http://schemas.microsoft.com/office/drawing/2014/main" id="{7ABBC3E4-AEEA-6F7C-A948-58F1941621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294" name="Picture 30">
          <a:extLst>
            <a:ext uri="{FF2B5EF4-FFF2-40B4-BE49-F238E27FC236}">
              <a16:creationId xmlns:a16="http://schemas.microsoft.com/office/drawing/2014/main" id="{AAC07B2C-7CBC-19C3-68E5-C9FEDA3387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295" name="Picture 31">
          <a:extLst>
            <a:ext uri="{FF2B5EF4-FFF2-40B4-BE49-F238E27FC236}">
              <a16:creationId xmlns:a16="http://schemas.microsoft.com/office/drawing/2014/main" id="{74D4A294-610B-A6F0-D4AF-7FB0BA7206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296" name="Picture 32">
          <a:extLst>
            <a:ext uri="{FF2B5EF4-FFF2-40B4-BE49-F238E27FC236}">
              <a16:creationId xmlns:a16="http://schemas.microsoft.com/office/drawing/2014/main" id="{659D558C-E55B-2012-BFCC-7E0F903CAE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297" name="Picture 33">
          <a:extLst>
            <a:ext uri="{FF2B5EF4-FFF2-40B4-BE49-F238E27FC236}">
              <a16:creationId xmlns:a16="http://schemas.microsoft.com/office/drawing/2014/main" id="{D7D59207-F78E-F7C2-FA8F-06904C33DB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298" name="Picture 34">
          <a:extLst>
            <a:ext uri="{FF2B5EF4-FFF2-40B4-BE49-F238E27FC236}">
              <a16:creationId xmlns:a16="http://schemas.microsoft.com/office/drawing/2014/main" id="{A9F7895D-F433-A95F-9DAC-BA959B6DB3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299" name="Picture 35">
          <a:extLst>
            <a:ext uri="{FF2B5EF4-FFF2-40B4-BE49-F238E27FC236}">
              <a16:creationId xmlns:a16="http://schemas.microsoft.com/office/drawing/2014/main" id="{427E2BD7-ABB1-0110-0232-7F52ED10D6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00" name="Picture 36">
          <a:extLst>
            <a:ext uri="{FF2B5EF4-FFF2-40B4-BE49-F238E27FC236}">
              <a16:creationId xmlns:a16="http://schemas.microsoft.com/office/drawing/2014/main" id="{CAD56997-60DD-75EA-E80D-A9E166FC6F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01" name="Picture 37">
          <a:extLst>
            <a:ext uri="{FF2B5EF4-FFF2-40B4-BE49-F238E27FC236}">
              <a16:creationId xmlns:a16="http://schemas.microsoft.com/office/drawing/2014/main" id="{E7B3C3DF-B41E-07AD-3B62-5650FF96F9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02" name="Picture 38">
          <a:extLst>
            <a:ext uri="{FF2B5EF4-FFF2-40B4-BE49-F238E27FC236}">
              <a16:creationId xmlns:a16="http://schemas.microsoft.com/office/drawing/2014/main" id="{E60AD00B-30FE-512C-13DF-85313C4DD8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03" name="Picture 39">
          <a:extLst>
            <a:ext uri="{FF2B5EF4-FFF2-40B4-BE49-F238E27FC236}">
              <a16:creationId xmlns:a16="http://schemas.microsoft.com/office/drawing/2014/main" id="{8388ADDA-2D06-A964-0FFB-E81B991A71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04" name="Picture 40">
          <a:extLst>
            <a:ext uri="{FF2B5EF4-FFF2-40B4-BE49-F238E27FC236}">
              <a16:creationId xmlns:a16="http://schemas.microsoft.com/office/drawing/2014/main" id="{7A835952-FED9-9E24-42C8-112DFC68FF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05" name="Picture 41">
          <a:extLst>
            <a:ext uri="{FF2B5EF4-FFF2-40B4-BE49-F238E27FC236}">
              <a16:creationId xmlns:a16="http://schemas.microsoft.com/office/drawing/2014/main" id="{0B2FD928-5CE0-6CE8-FD39-73E4255F80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06" name="Picture 42">
          <a:extLst>
            <a:ext uri="{FF2B5EF4-FFF2-40B4-BE49-F238E27FC236}">
              <a16:creationId xmlns:a16="http://schemas.microsoft.com/office/drawing/2014/main" id="{2B371E35-BBA4-A73A-A066-80DB7BE0D8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07" name="Picture 43">
          <a:extLst>
            <a:ext uri="{FF2B5EF4-FFF2-40B4-BE49-F238E27FC236}">
              <a16:creationId xmlns:a16="http://schemas.microsoft.com/office/drawing/2014/main" id="{5365F1DE-9846-CCC5-62AD-5A81A36F6E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08" name="Picture 44">
          <a:extLst>
            <a:ext uri="{FF2B5EF4-FFF2-40B4-BE49-F238E27FC236}">
              <a16:creationId xmlns:a16="http://schemas.microsoft.com/office/drawing/2014/main" id="{BC2F94B4-F150-7859-3187-47E0841A33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09" name="Picture 45">
          <a:extLst>
            <a:ext uri="{FF2B5EF4-FFF2-40B4-BE49-F238E27FC236}">
              <a16:creationId xmlns:a16="http://schemas.microsoft.com/office/drawing/2014/main" id="{AD3FAE73-3229-DC50-2C15-C376FD9E28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10" name="Picture 46">
          <a:extLst>
            <a:ext uri="{FF2B5EF4-FFF2-40B4-BE49-F238E27FC236}">
              <a16:creationId xmlns:a16="http://schemas.microsoft.com/office/drawing/2014/main" id="{243DBDB4-61FA-6FFA-ECBC-010EBB1619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11" name="Picture 47">
          <a:extLst>
            <a:ext uri="{FF2B5EF4-FFF2-40B4-BE49-F238E27FC236}">
              <a16:creationId xmlns:a16="http://schemas.microsoft.com/office/drawing/2014/main" id="{344F9CDD-7116-BA43-EE44-C823499025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12" name="Picture 48">
          <a:extLst>
            <a:ext uri="{FF2B5EF4-FFF2-40B4-BE49-F238E27FC236}">
              <a16:creationId xmlns:a16="http://schemas.microsoft.com/office/drawing/2014/main" id="{BE77C89F-789F-0602-5D30-84D7DA4C65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13" name="Picture 49">
          <a:extLst>
            <a:ext uri="{FF2B5EF4-FFF2-40B4-BE49-F238E27FC236}">
              <a16:creationId xmlns:a16="http://schemas.microsoft.com/office/drawing/2014/main" id="{1DF03AF6-B83E-91D7-DAF5-CB24D34565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14" name="Picture 50">
          <a:extLst>
            <a:ext uri="{FF2B5EF4-FFF2-40B4-BE49-F238E27FC236}">
              <a16:creationId xmlns:a16="http://schemas.microsoft.com/office/drawing/2014/main" id="{5190BCDF-4F57-1A83-CFFF-6B39BBAE80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15" name="Picture 51">
          <a:extLst>
            <a:ext uri="{FF2B5EF4-FFF2-40B4-BE49-F238E27FC236}">
              <a16:creationId xmlns:a16="http://schemas.microsoft.com/office/drawing/2014/main" id="{20C4C647-9A33-5528-FD95-6186A0CF3F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16" name="Picture 52">
          <a:extLst>
            <a:ext uri="{FF2B5EF4-FFF2-40B4-BE49-F238E27FC236}">
              <a16:creationId xmlns:a16="http://schemas.microsoft.com/office/drawing/2014/main" id="{F112E8A2-1DE9-9F01-9BB6-EB1BD33D03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17" name="Picture 53">
          <a:extLst>
            <a:ext uri="{FF2B5EF4-FFF2-40B4-BE49-F238E27FC236}">
              <a16:creationId xmlns:a16="http://schemas.microsoft.com/office/drawing/2014/main" id="{157ECC04-8408-61E8-154A-6C106E652E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18" name="Picture 54">
          <a:extLst>
            <a:ext uri="{FF2B5EF4-FFF2-40B4-BE49-F238E27FC236}">
              <a16:creationId xmlns:a16="http://schemas.microsoft.com/office/drawing/2014/main" id="{976129A2-B17A-563A-E28E-D8B759C3A4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19" name="Picture 55">
          <a:extLst>
            <a:ext uri="{FF2B5EF4-FFF2-40B4-BE49-F238E27FC236}">
              <a16:creationId xmlns:a16="http://schemas.microsoft.com/office/drawing/2014/main" id="{DE826B9E-022F-B9E6-850D-E842951D61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20" name="Picture 56">
          <a:extLst>
            <a:ext uri="{FF2B5EF4-FFF2-40B4-BE49-F238E27FC236}">
              <a16:creationId xmlns:a16="http://schemas.microsoft.com/office/drawing/2014/main" id="{5E1D553F-851D-06AA-AB4D-2E1B27291F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21" name="Picture 57">
          <a:extLst>
            <a:ext uri="{FF2B5EF4-FFF2-40B4-BE49-F238E27FC236}">
              <a16:creationId xmlns:a16="http://schemas.microsoft.com/office/drawing/2014/main" id="{9F0D8961-1FCB-E703-26DD-48F0985E9D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22" name="Picture 58">
          <a:extLst>
            <a:ext uri="{FF2B5EF4-FFF2-40B4-BE49-F238E27FC236}">
              <a16:creationId xmlns:a16="http://schemas.microsoft.com/office/drawing/2014/main" id="{748B9133-D18A-9A74-FF5E-506537F7B8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23" name="Picture 59">
          <a:extLst>
            <a:ext uri="{FF2B5EF4-FFF2-40B4-BE49-F238E27FC236}">
              <a16:creationId xmlns:a16="http://schemas.microsoft.com/office/drawing/2014/main" id="{46085939-BE12-19E9-1215-7CBBD0BC74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24" name="Picture 60">
          <a:extLst>
            <a:ext uri="{FF2B5EF4-FFF2-40B4-BE49-F238E27FC236}">
              <a16:creationId xmlns:a16="http://schemas.microsoft.com/office/drawing/2014/main" id="{2CB1AB21-8AC9-41CD-82E3-533196E512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25" name="Picture 61">
          <a:extLst>
            <a:ext uri="{FF2B5EF4-FFF2-40B4-BE49-F238E27FC236}">
              <a16:creationId xmlns:a16="http://schemas.microsoft.com/office/drawing/2014/main" id="{CE59A1AA-F58D-9FB4-D958-315E377FBD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26" name="Picture 62">
          <a:extLst>
            <a:ext uri="{FF2B5EF4-FFF2-40B4-BE49-F238E27FC236}">
              <a16:creationId xmlns:a16="http://schemas.microsoft.com/office/drawing/2014/main" id="{E97B204A-A410-79B5-E0D2-2539593CA0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27" name="Picture 63">
          <a:extLst>
            <a:ext uri="{FF2B5EF4-FFF2-40B4-BE49-F238E27FC236}">
              <a16:creationId xmlns:a16="http://schemas.microsoft.com/office/drawing/2014/main" id="{57709455-6E4D-EF5F-6106-47520474E7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28" name="Picture 64">
          <a:extLst>
            <a:ext uri="{FF2B5EF4-FFF2-40B4-BE49-F238E27FC236}">
              <a16:creationId xmlns:a16="http://schemas.microsoft.com/office/drawing/2014/main" id="{1AD309B3-C2AF-CCCE-53A9-22DF9B07E1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29" name="Picture 65">
          <a:extLst>
            <a:ext uri="{FF2B5EF4-FFF2-40B4-BE49-F238E27FC236}">
              <a16:creationId xmlns:a16="http://schemas.microsoft.com/office/drawing/2014/main" id="{FA31A3BE-DACC-B9AC-4B29-3E836776A7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30" name="Picture 66">
          <a:extLst>
            <a:ext uri="{FF2B5EF4-FFF2-40B4-BE49-F238E27FC236}">
              <a16:creationId xmlns:a16="http://schemas.microsoft.com/office/drawing/2014/main" id="{FC12A7CD-A7AA-4C42-531B-D1420745B6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31" name="Picture 67">
          <a:extLst>
            <a:ext uri="{FF2B5EF4-FFF2-40B4-BE49-F238E27FC236}">
              <a16:creationId xmlns:a16="http://schemas.microsoft.com/office/drawing/2014/main" id="{3F20A5FB-361C-84D2-21AE-A7C5111516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32" name="Picture 68">
          <a:extLst>
            <a:ext uri="{FF2B5EF4-FFF2-40B4-BE49-F238E27FC236}">
              <a16:creationId xmlns:a16="http://schemas.microsoft.com/office/drawing/2014/main" id="{BA28F8FB-2383-74F7-3DAF-B5824CFB68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33" name="Picture 69">
          <a:extLst>
            <a:ext uri="{FF2B5EF4-FFF2-40B4-BE49-F238E27FC236}">
              <a16:creationId xmlns:a16="http://schemas.microsoft.com/office/drawing/2014/main" id="{BBA6EE4A-3A52-C8A0-0E94-95234F019A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34" name="Picture 70">
          <a:extLst>
            <a:ext uri="{FF2B5EF4-FFF2-40B4-BE49-F238E27FC236}">
              <a16:creationId xmlns:a16="http://schemas.microsoft.com/office/drawing/2014/main" id="{9EC7A531-7375-9A91-F46C-A4629E914B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35" name="Picture 71">
          <a:extLst>
            <a:ext uri="{FF2B5EF4-FFF2-40B4-BE49-F238E27FC236}">
              <a16:creationId xmlns:a16="http://schemas.microsoft.com/office/drawing/2014/main" id="{C55BFD63-38FA-C138-BA95-9774932B0D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36" name="Picture 72">
          <a:extLst>
            <a:ext uri="{FF2B5EF4-FFF2-40B4-BE49-F238E27FC236}">
              <a16:creationId xmlns:a16="http://schemas.microsoft.com/office/drawing/2014/main" id="{38583DB5-C023-852D-85A3-A557AFE6AD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37" name="Picture 73">
          <a:extLst>
            <a:ext uri="{FF2B5EF4-FFF2-40B4-BE49-F238E27FC236}">
              <a16:creationId xmlns:a16="http://schemas.microsoft.com/office/drawing/2014/main" id="{F1FAAF6B-D4D8-F858-EF50-DB69A25A4C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38" name="Picture 74">
          <a:extLst>
            <a:ext uri="{FF2B5EF4-FFF2-40B4-BE49-F238E27FC236}">
              <a16:creationId xmlns:a16="http://schemas.microsoft.com/office/drawing/2014/main" id="{690EE659-8269-B64D-9BF6-B00823F8B9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39" name="Picture 75">
          <a:extLst>
            <a:ext uri="{FF2B5EF4-FFF2-40B4-BE49-F238E27FC236}">
              <a16:creationId xmlns:a16="http://schemas.microsoft.com/office/drawing/2014/main" id="{CEDA1821-DEFC-1833-EDAF-791ED4B0B1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40" name="Picture 76">
          <a:extLst>
            <a:ext uri="{FF2B5EF4-FFF2-40B4-BE49-F238E27FC236}">
              <a16:creationId xmlns:a16="http://schemas.microsoft.com/office/drawing/2014/main" id="{ADE2F96B-9FC6-DBBE-99D4-6403FE65B6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41" name="Picture 77">
          <a:extLst>
            <a:ext uri="{FF2B5EF4-FFF2-40B4-BE49-F238E27FC236}">
              <a16:creationId xmlns:a16="http://schemas.microsoft.com/office/drawing/2014/main" id="{324E9A98-98BB-96F5-3A61-E407041382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42" name="Picture 78">
          <a:extLst>
            <a:ext uri="{FF2B5EF4-FFF2-40B4-BE49-F238E27FC236}">
              <a16:creationId xmlns:a16="http://schemas.microsoft.com/office/drawing/2014/main" id="{3CC93FCC-614B-B625-B1E3-A08FFAB0DC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43" name="Picture 79">
          <a:extLst>
            <a:ext uri="{FF2B5EF4-FFF2-40B4-BE49-F238E27FC236}">
              <a16:creationId xmlns:a16="http://schemas.microsoft.com/office/drawing/2014/main" id="{7B9B6141-2554-A8CF-A9F6-79A1D5E816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44" name="Picture 80">
          <a:extLst>
            <a:ext uri="{FF2B5EF4-FFF2-40B4-BE49-F238E27FC236}">
              <a16:creationId xmlns:a16="http://schemas.microsoft.com/office/drawing/2014/main" id="{699E6F76-8AA5-9846-87CF-5FF2ECF791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45" name="Picture 81">
          <a:extLst>
            <a:ext uri="{FF2B5EF4-FFF2-40B4-BE49-F238E27FC236}">
              <a16:creationId xmlns:a16="http://schemas.microsoft.com/office/drawing/2014/main" id="{7C960180-7628-3985-1623-902438BA41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46" name="Picture 82">
          <a:extLst>
            <a:ext uri="{FF2B5EF4-FFF2-40B4-BE49-F238E27FC236}">
              <a16:creationId xmlns:a16="http://schemas.microsoft.com/office/drawing/2014/main" id="{EF735E43-2C4A-8D25-8305-2AAEB72B19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47" name="Picture 83">
          <a:extLst>
            <a:ext uri="{FF2B5EF4-FFF2-40B4-BE49-F238E27FC236}">
              <a16:creationId xmlns:a16="http://schemas.microsoft.com/office/drawing/2014/main" id="{E746F34A-4FFB-1ADE-ACD2-548A5A5482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48" name="Picture 84">
          <a:extLst>
            <a:ext uri="{FF2B5EF4-FFF2-40B4-BE49-F238E27FC236}">
              <a16:creationId xmlns:a16="http://schemas.microsoft.com/office/drawing/2014/main" id="{B2095DB4-B414-124E-9D40-35D4527B99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49" name="Picture 85">
          <a:extLst>
            <a:ext uri="{FF2B5EF4-FFF2-40B4-BE49-F238E27FC236}">
              <a16:creationId xmlns:a16="http://schemas.microsoft.com/office/drawing/2014/main" id="{E3C9785E-A6A9-DBDB-5EF4-1346542396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50" name="Picture 86">
          <a:extLst>
            <a:ext uri="{FF2B5EF4-FFF2-40B4-BE49-F238E27FC236}">
              <a16:creationId xmlns:a16="http://schemas.microsoft.com/office/drawing/2014/main" id="{E29F4809-1AFB-F91A-AEA2-6163ABDE77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51" name="Picture 87">
          <a:extLst>
            <a:ext uri="{FF2B5EF4-FFF2-40B4-BE49-F238E27FC236}">
              <a16:creationId xmlns:a16="http://schemas.microsoft.com/office/drawing/2014/main" id="{78923D45-4922-6DEC-2B52-25E218B6E6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52" name="Picture 88">
          <a:extLst>
            <a:ext uri="{FF2B5EF4-FFF2-40B4-BE49-F238E27FC236}">
              <a16:creationId xmlns:a16="http://schemas.microsoft.com/office/drawing/2014/main" id="{20B48F4E-4879-5835-1F18-BEE9A13BC7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53" name="Picture 89">
          <a:extLst>
            <a:ext uri="{FF2B5EF4-FFF2-40B4-BE49-F238E27FC236}">
              <a16:creationId xmlns:a16="http://schemas.microsoft.com/office/drawing/2014/main" id="{F84B615D-5A29-DF60-9BDB-A2E32FEA15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54" name="Picture 90">
          <a:extLst>
            <a:ext uri="{FF2B5EF4-FFF2-40B4-BE49-F238E27FC236}">
              <a16:creationId xmlns:a16="http://schemas.microsoft.com/office/drawing/2014/main" id="{1CCA932B-74F8-FB3B-C5F8-FC80DF35D8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55" name="Picture 91">
          <a:extLst>
            <a:ext uri="{FF2B5EF4-FFF2-40B4-BE49-F238E27FC236}">
              <a16:creationId xmlns:a16="http://schemas.microsoft.com/office/drawing/2014/main" id="{05FE6E85-C497-05D1-57B9-246CEAE60D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56" name="Picture 92">
          <a:extLst>
            <a:ext uri="{FF2B5EF4-FFF2-40B4-BE49-F238E27FC236}">
              <a16:creationId xmlns:a16="http://schemas.microsoft.com/office/drawing/2014/main" id="{AEF55924-FB06-11B1-BFE4-B42887C015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57" name="Picture 93">
          <a:extLst>
            <a:ext uri="{FF2B5EF4-FFF2-40B4-BE49-F238E27FC236}">
              <a16:creationId xmlns:a16="http://schemas.microsoft.com/office/drawing/2014/main" id="{32C02BD9-A3E9-5783-0AAF-F72117FB1B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58" name="Picture 94">
          <a:extLst>
            <a:ext uri="{FF2B5EF4-FFF2-40B4-BE49-F238E27FC236}">
              <a16:creationId xmlns:a16="http://schemas.microsoft.com/office/drawing/2014/main" id="{AE3E902A-B0D9-968B-FF7E-B2E4A36B6A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59" name="Picture 95">
          <a:extLst>
            <a:ext uri="{FF2B5EF4-FFF2-40B4-BE49-F238E27FC236}">
              <a16:creationId xmlns:a16="http://schemas.microsoft.com/office/drawing/2014/main" id="{2C47E1F4-5F6C-C280-3B1E-B29990D8C6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60" name="Picture 96">
          <a:extLst>
            <a:ext uri="{FF2B5EF4-FFF2-40B4-BE49-F238E27FC236}">
              <a16:creationId xmlns:a16="http://schemas.microsoft.com/office/drawing/2014/main" id="{5CA7D3B5-6FF2-4F36-9334-6496F80886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61" name="Picture 97">
          <a:extLst>
            <a:ext uri="{FF2B5EF4-FFF2-40B4-BE49-F238E27FC236}">
              <a16:creationId xmlns:a16="http://schemas.microsoft.com/office/drawing/2014/main" id="{7DD0C3DE-C6BF-0DB4-AED1-8E04093AF2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62" name="Picture 98">
          <a:extLst>
            <a:ext uri="{FF2B5EF4-FFF2-40B4-BE49-F238E27FC236}">
              <a16:creationId xmlns:a16="http://schemas.microsoft.com/office/drawing/2014/main" id="{6049A2A8-69F0-8AF4-CF6E-F8758D5902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63" name="Picture 99">
          <a:extLst>
            <a:ext uri="{FF2B5EF4-FFF2-40B4-BE49-F238E27FC236}">
              <a16:creationId xmlns:a16="http://schemas.microsoft.com/office/drawing/2014/main" id="{A64ABDA2-7387-F74D-BBDA-12A6BCEF42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64" name="Picture 100">
          <a:extLst>
            <a:ext uri="{FF2B5EF4-FFF2-40B4-BE49-F238E27FC236}">
              <a16:creationId xmlns:a16="http://schemas.microsoft.com/office/drawing/2014/main" id="{8F4B34A4-7486-21D2-A26B-176BE18AA3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65" name="Picture 101">
          <a:extLst>
            <a:ext uri="{FF2B5EF4-FFF2-40B4-BE49-F238E27FC236}">
              <a16:creationId xmlns:a16="http://schemas.microsoft.com/office/drawing/2014/main" id="{C329E31D-F4C8-5E0D-A123-1B6CF00061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66" name="Picture 102">
          <a:extLst>
            <a:ext uri="{FF2B5EF4-FFF2-40B4-BE49-F238E27FC236}">
              <a16:creationId xmlns:a16="http://schemas.microsoft.com/office/drawing/2014/main" id="{AC4898DB-B520-7BEE-45E1-795EF4389C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67" name="Picture 103">
          <a:extLst>
            <a:ext uri="{FF2B5EF4-FFF2-40B4-BE49-F238E27FC236}">
              <a16:creationId xmlns:a16="http://schemas.microsoft.com/office/drawing/2014/main" id="{E7593655-4533-1344-46F5-CA216C0403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68" name="Picture 104">
          <a:extLst>
            <a:ext uri="{FF2B5EF4-FFF2-40B4-BE49-F238E27FC236}">
              <a16:creationId xmlns:a16="http://schemas.microsoft.com/office/drawing/2014/main" id="{3FD06C84-C552-F0BC-89B9-0615A6E41F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69" name="Picture 105">
          <a:extLst>
            <a:ext uri="{FF2B5EF4-FFF2-40B4-BE49-F238E27FC236}">
              <a16:creationId xmlns:a16="http://schemas.microsoft.com/office/drawing/2014/main" id="{70D2DE3D-F1A6-7647-6E5A-DB9757A179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70" name="Picture 106">
          <a:extLst>
            <a:ext uri="{FF2B5EF4-FFF2-40B4-BE49-F238E27FC236}">
              <a16:creationId xmlns:a16="http://schemas.microsoft.com/office/drawing/2014/main" id="{90EAFEF5-90D1-AD97-1578-67009EC91A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71" name="Picture 107">
          <a:extLst>
            <a:ext uri="{FF2B5EF4-FFF2-40B4-BE49-F238E27FC236}">
              <a16:creationId xmlns:a16="http://schemas.microsoft.com/office/drawing/2014/main" id="{873381F2-DA7A-D2EE-93ED-D8DD89945B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72" name="Picture 108">
          <a:extLst>
            <a:ext uri="{FF2B5EF4-FFF2-40B4-BE49-F238E27FC236}">
              <a16:creationId xmlns:a16="http://schemas.microsoft.com/office/drawing/2014/main" id="{06AE03D3-E442-FC51-42B3-ED1E46F59E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73" name="Picture 109">
          <a:extLst>
            <a:ext uri="{FF2B5EF4-FFF2-40B4-BE49-F238E27FC236}">
              <a16:creationId xmlns:a16="http://schemas.microsoft.com/office/drawing/2014/main" id="{F465CE2C-BEB1-DC8C-476E-07FFD16A6E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74" name="Picture 110">
          <a:extLst>
            <a:ext uri="{FF2B5EF4-FFF2-40B4-BE49-F238E27FC236}">
              <a16:creationId xmlns:a16="http://schemas.microsoft.com/office/drawing/2014/main" id="{7B281596-BBD6-3B08-F2CE-6F0A56E303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75" name="Picture 111">
          <a:extLst>
            <a:ext uri="{FF2B5EF4-FFF2-40B4-BE49-F238E27FC236}">
              <a16:creationId xmlns:a16="http://schemas.microsoft.com/office/drawing/2014/main" id="{5CD06F4E-B116-F46B-781E-47EA613200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76" name="Picture 112">
          <a:extLst>
            <a:ext uri="{FF2B5EF4-FFF2-40B4-BE49-F238E27FC236}">
              <a16:creationId xmlns:a16="http://schemas.microsoft.com/office/drawing/2014/main" id="{FD7C6DD3-B020-4830-F476-36328413DF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77" name="Picture 113">
          <a:extLst>
            <a:ext uri="{FF2B5EF4-FFF2-40B4-BE49-F238E27FC236}">
              <a16:creationId xmlns:a16="http://schemas.microsoft.com/office/drawing/2014/main" id="{0D4CD069-E739-D638-D82D-F6B677046B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78" name="Picture 114">
          <a:extLst>
            <a:ext uri="{FF2B5EF4-FFF2-40B4-BE49-F238E27FC236}">
              <a16:creationId xmlns:a16="http://schemas.microsoft.com/office/drawing/2014/main" id="{C835B40F-5A21-2FB6-041B-50394C3D68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79" name="Picture 115">
          <a:extLst>
            <a:ext uri="{FF2B5EF4-FFF2-40B4-BE49-F238E27FC236}">
              <a16:creationId xmlns:a16="http://schemas.microsoft.com/office/drawing/2014/main" id="{238D475F-8B30-7270-D4C0-1B7EFF891F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80" name="Picture 116">
          <a:extLst>
            <a:ext uri="{FF2B5EF4-FFF2-40B4-BE49-F238E27FC236}">
              <a16:creationId xmlns:a16="http://schemas.microsoft.com/office/drawing/2014/main" id="{D52FC2C2-8F81-56A0-7990-D5C3D5468C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81" name="Picture 117">
          <a:extLst>
            <a:ext uri="{FF2B5EF4-FFF2-40B4-BE49-F238E27FC236}">
              <a16:creationId xmlns:a16="http://schemas.microsoft.com/office/drawing/2014/main" id="{96F044E1-7158-9FF2-EEDB-A6C23F71E1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82" name="Picture 118">
          <a:extLst>
            <a:ext uri="{FF2B5EF4-FFF2-40B4-BE49-F238E27FC236}">
              <a16:creationId xmlns:a16="http://schemas.microsoft.com/office/drawing/2014/main" id="{53CBB4C6-B63A-A48E-1A7F-6D823CFF51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83" name="Picture 119">
          <a:extLst>
            <a:ext uri="{FF2B5EF4-FFF2-40B4-BE49-F238E27FC236}">
              <a16:creationId xmlns:a16="http://schemas.microsoft.com/office/drawing/2014/main" id="{BDD4D328-BE0F-E3A8-15CB-BDCC2CDF72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84" name="Picture 120">
          <a:extLst>
            <a:ext uri="{FF2B5EF4-FFF2-40B4-BE49-F238E27FC236}">
              <a16:creationId xmlns:a16="http://schemas.microsoft.com/office/drawing/2014/main" id="{F4224996-4971-6E49-97B7-60ED35BDCF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85" name="Picture 121">
          <a:extLst>
            <a:ext uri="{FF2B5EF4-FFF2-40B4-BE49-F238E27FC236}">
              <a16:creationId xmlns:a16="http://schemas.microsoft.com/office/drawing/2014/main" id="{DEEF3445-0CAC-46A0-AB01-22B5ACEF4C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86" name="Picture 122">
          <a:extLst>
            <a:ext uri="{FF2B5EF4-FFF2-40B4-BE49-F238E27FC236}">
              <a16:creationId xmlns:a16="http://schemas.microsoft.com/office/drawing/2014/main" id="{69A0E730-9E52-3892-8504-77E6654832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87" name="Picture 123">
          <a:extLst>
            <a:ext uri="{FF2B5EF4-FFF2-40B4-BE49-F238E27FC236}">
              <a16:creationId xmlns:a16="http://schemas.microsoft.com/office/drawing/2014/main" id="{1EC17E02-E641-7D6E-6273-3728A4A1C9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88" name="Picture 124">
          <a:extLst>
            <a:ext uri="{FF2B5EF4-FFF2-40B4-BE49-F238E27FC236}">
              <a16:creationId xmlns:a16="http://schemas.microsoft.com/office/drawing/2014/main" id="{303A1FA0-2323-FD72-BD34-92DEDA7F49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89" name="Picture 125">
          <a:extLst>
            <a:ext uri="{FF2B5EF4-FFF2-40B4-BE49-F238E27FC236}">
              <a16:creationId xmlns:a16="http://schemas.microsoft.com/office/drawing/2014/main" id="{1E8C8042-1FE4-DE9A-DE71-A597AC5A9B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90" name="Picture 126">
          <a:extLst>
            <a:ext uri="{FF2B5EF4-FFF2-40B4-BE49-F238E27FC236}">
              <a16:creationId xmlns:a16="http://schemas.microsoft.com/office/drawing/2014/main" id="{5FD6603B-643E-5FF0-2C1A-13B6C6B202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91" name="Picture 127">
          <a:extLst>
            <a:ext uri="{FF2B5EF4-FFF2-40B4-BE49-F238E27FC236}">
              <a16:creationId xmlns:a16="http://schemas.microsoft.com/office/drawing/2014/main" id="{E02E8FB8-CB51-174C-226D-24951B7019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92" name="Picture 128">
          <a:extLst>
            <a:ext uri="{FF2B5EF4-FFF2-40B4-BE49-F238E27FC236}">
              <a16:creationId xmlns:a16="http://schemas.microsoft.com/office/drawing/2014/main" id="{065C7526-B27A-7A7D-8D59-2E31199154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93" name="Picture 129">
          <a:extLst>
            <a:ext uri="{FF2B5EF4-FFF2-40B4-BE49-F238E27FC236}">
              <a16:creationId xmlns:a16="http://schemas.microsoft.com/office/drawing/2014/main" id="{BB68E71B-F046-DB20-A007-E59F6F083E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94" name="Picture 130">
          <a:extLst>
            <a:ext uri="{FF2B5EF4-FFF2-40B4-BE49-F238E27FC236}">
              <a16:creationId xmlns:a16="http://schemas.microsoft.com/office/drawing/2014/main" id="{181FFE37-E896-1B58-3A25-EA38080489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95" name="Picture 131">
          <a:extLst>
            <a:ext uri="{FF2B5EF4-FFF2-40B4-BE49-F238E27FC236}">
              <a16:creationId xmlns:a16="http://schemas.microsoft.com/office/drawing/2014/main" id="{092CAA76-44E0-1DCB-A1AC-E585DFF1FB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96" name="Picture 132">
          <a:extLst>
            <a:ext uri="{FF2B5EF4-FFF2-40B4-BE49-F238E27FC236}">
              <a16:creationId xmlns:a16="http://schemas.microsoft.com/office/drawing/2014/main" id="{F35C4B57-D49C-75FC-4AB2-DA40FE39F3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97" name="Picture 133">
          <a:extLst>
            <a:ext uri="{FF2B5EF4-FFF2-40B4-BE49-F238E27FC236}">
              <a16:creationId xmlns:a16="http://schemas.microsoft.com/office/drawing/2014/main" id="{F1F09485-B2B0-293B-75A8-36343FF9B6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98" name="Picture 134">
          <a:extLst>
            <a:ext uri="{FF2B5EF4-FFF2-40B4-BE49-F238E27FC236}">
              <a16:creationId xmlns:a16="http://schemas.microsoft.com/office/drawing/2014/main" id="{2593DB99-8BDF-B0B6-3E05-718C69553D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399" name="Picture 135">
          <a:extLst>
            <a:ext uri="{FF2B5EF4-FFF2-40B4-BE49-F238E27FC236}">
              <a16:creationId xmlns:a16="http://schemas.microsoft.com/office/drawing/2014/main" id="{BF722161-0D7A-6132-335A-4CEAA93350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400" name="Picture 136">
          <a:extLst>
            <a:ext uri="{FF2B5EF4-FFF2-40B4-BE49-F238E27FC236}">
              <a16:creationId xmlns:a16="http://schemas.microsoft.com/office/drawing/2014/main" id="{C2799989-B742-552C-087B-DDF18F1D1A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401" name="Picture 137">
          <a:extLst>
            <a:ext uri="{FF2B5EF4-FFF2-40B4-BE49-F238E27FC236}">
              <a16:creationId xmlns:a16="http://schemas.microsoft.com/office/drawing/2014/main" id="{C037C6CD-DC2F-5E2E-06D8-2F351AA5CB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402" name="Picture 138">
          <a:extLst>
            <a:ext uri="{FF2B5EF4-FFF2-40B4-BE49-F238E27FC236}">
              <a16:creationId xmlns:a16="http://schemas.microsoft.com/office/drawing/2014/main" id="{DFF03E05-C3B5-9F67-69C0-5D07E39CFA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403" name="Picture 139">
          <a:extLst>
            <a:ext uri="{FF2B5EF4-FFF2-40B4-BE49-F238E27FC236}">
              <a16:creationId xmlns:a16="http://schemas.microsoft.com/office/drawing/2014/main" id="{E88742A5-E170-6684-B5B3-70706CDD9A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404" name="Picture 140">
          <a:extLst>
            <a:ext uri="{FF2B5EF4-FFF2-40B4-BE49-F238E27FC236}">
              <a16:creationId xmlns:a16="http://schemas.microsoft.com/office/drawing/2014/main" id="{BF4C8C93-F96D-C672-AEE1-BFD4A1D579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0</xdr:colOff>
      <xdr:row>2</xdr:row>
      <xdr:rowOff>123825</xdr:rowOff>
    </xdr:from>
    <xdr:to>
      <xdr:col>4</xdr:col>
      <xdr:colOff>0</xdr:colOff>
      <xdr:row>2</xdr:row>
      <xdr:rowOff>476250</xdr:rowOff>
    </xdr:to>
    <xdr:pic>
      <xdr:nvPicPr>
        <xdr:cNvPr id="104405" name="Picture 141">
          <a:extLst>
            <a:ext uri="{FF2B5EF4-FFF2-40B4-BE49-F238E27FC236}">
              <a16:creationId xmlns:a16="http://schemas.microsoft.com/office/drawing/2014/main" id="{5E6688CA-2CF6-ECEE-D672-2916A6DCCF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4325" y="733425"/>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12</xdr:col>
      <xdr:colOff>0</xdr:colOff>
      <xdr:row>0</xdr:row>
      <xdr:rowOff>0</xdr:rowOff>
    </xdr:from>
    <xdr:to>
      <xdr:col>12</xdr:col>
      <xdr:colOff>0</xdr:colOff>
      <xdr:row>0</xdr:row>
      <xdr:rowOff>0</xdr:rowOff>
    </xdr:to>
    <xdr:pic>
      <xdr:nvPicPr>
        <xdr:cNvPr id="105157" name="Picture 127">
          <a:extLst>
            <a:ext uri="{FF2B5EF4-FFF2-40B4-BE49-F238E27FC236}">
              <a16:creationId xmlns:a16="http://schemas.microsoft.com/office/drawing/2014/main" id="{C02A6E44-D246-1983-1A15-1CD47F268F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158" name="Picture 128">
          <a:extLst>
            <a:ext uri="{FF2B5EF4-FFF2-40B4-BE49-F238E27FC236}">
              <a16:creationId xmlns:a16="http://schemas.microsoft.com/office/drawing/2014/main" id="{19BFA9FB-C749-2071-1A83-72E3D61B0B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159" name="Picture 129">
          <a:extLst>
            <a:ext uri="{FF2B5EF4-FFF2-40B4-BE49-F238E27FC236}">
              <a16:creationId xmlns:a16="http://schemas.microsoft.com/office/drawing/2014/main" id="{79F54196-55C2-A6B1-514B-2B6A89F305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160" name="Picture 130">
          <a:extLst>
            <a:ext uri="{FF2B5EF4-FFF2-40B4-BE49-F238E27FC236}">
              <a16:creationId xmlns:a16="http://schemas.microsoft.com/office/drawing/2014/main" id="{6983410E-8037-8977-6967-A020587361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161" name="Picture 131">
          <a:extLst>
            <a:ext uri="{FF2B5EF4-FFF2-40B4-BE49-F238E27FC236}">
              <a16:creationId xmlns:a16="http://schemas.microsoft.com/office/drawing/2014/main" id="{375B1217-2E46-58D1-1C56-00D9B227A7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162" name="Picture 132">
          <a:extLst>
            <a:ext uri="{FF2B5EF4-FFF2-40B4-BE49-F238E27FC236}">
              <a16:creationId xmlns:a16="http://schemas.microsoft.com/office/drawing/2014/main" id="{33986757-16C0-D092-0111-436ABCAE7C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163" name="Picture 133">
          <a:extLst>
            <a:ext uri="{FF2B5EF4-FFF2-40B4-BE49-F238E27FC236}">
              <a16:creationId xmlns:a16="http://schemas.microsoft.com/office/drawing/2014/main" id="{B3E423DC-5EA0-8C61-78AA-7CBF1BCBC9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164" name="Picture 134">
          <a:extLst>
            <a:ext uri="{FF2B5EF4-FFF2-40B4-BE49-F238E27FC236}">
              <a16:creationId xmlns:a16="http://schemas.microsoft.com/office/drawing/2014/main" id="{B6160759-3CD1-065F-59B5-DCB8AE2017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165" name="Picture 135">
          <a:extLst>
            <a:ext uri="{FF2B5EF4-FFF2-40B4-BE49-F238E27FC236}">
              <a16:creationId xmlns:a16="http://schemas.microsoft.com/office/drawing/2014/main" id="{22C7816D-0CE5-69EC-F34A-E67C295E3D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166" name="Picture 136">
          <a:extLst>
            <a:ext uri="{FF2B5EF4-FFF2-40B4-BE49-F238E27FC236}">
              <a16:creationId xmlns:a16="http://schemas.microsoft.com/office/drawing/2014/main" id="{762BD59F-3B4B-148F-322A-A92C90510F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167" name="Picture 137">
          <a:extLst>
            <a:ext uri="{FF2B5EF4-FFF2-40B4-BE49-F238E27FC236}">
              <a16:creationId xmlns:a16="http://schemas.microsoft.com/office/drawing/2014/main" id="{69A55F81-80A1-6097-8252-C94CC88216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168" name="Picture 138">
          <a:extLst>
            <a:ext uri="{FF2B5EF4-FFF2-40B4-BE49-F238E27FC236}">
              <a16:creationId xmlns:a16="http://schemas.microsoft.com/office/drawing/2014/main" id="{B148F4AF-F262-8E7B-739A-D2834FF995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169" name="Picture 139">
          <a:extLst>
            <a:ext uri="{FF2B5EF4-FFF2-40B4-BE49-F238E27FC236}">
              <a16:creationId xmlns:a16="http://schemas.microsoft.com/office/drawing/2014/main" id="{81E5289B-87CF-50CC-BCD0-B1890630A7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170" name="Picture 140">
          <a:extLst>
            <a:ext uri="{FF2B5EF4-FFF2-40B4-BE49-F238E27FC236}">
              <a16:creationId xmlns:a16="http://schemas.microsoft.com/office/drawing/2014/main" id="{3E6414DF-BC89-5E6B-EB3A-1FDC927165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171" name="Picture 141">
          <a:extLst>
            <a:ext uri="{FF2B5EF4-FFF2-40B4-BE49-F238E27FC236}">
              <a16:creationId xmlns:a16="http://schemas.microsoft.com/office/drawing/2014/main" id="{C7935D1D-FB0B-AE5F-AB72-547F778E7A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172" name="Picture 142">
          <a:extLst>
            <a:ext uri="{FF2B5EF4-FFF2-40B4-BE49-F238E27FC236}">
              <a16:creationId xmlns:a16="http://schemas.microsoft.com/office/drawing/2014/main" id="{09855E28-007B-9D4A-A6DC-355736344F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173" name="Picture 143">
          <a:extLst>
            <a:ext uri="{FF2B5EF4-FFF2-40B4-BE49-F238E27FC236}">
              <a16:creationId xmlns:a16="http://schemas.microsoft.com/office/drawing/2014/main" id="{5BBF68B3-1CAB-8614-4046-14323CE601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174" name="Picture 144">
          <a:extLst>
            <a:ext uri="{FF2B5EF4-FFF2-40B4-BE49-F238E27FC236}">
              <a16:creationId xmlns:a16="http://schemas.microsoft.com/office/drawing/2014/main" id="{775D7D76-2EDB-99E0-2EFE-AE3B73725D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175" name="Picture 145">
          <a:extLst>
            <a:ext uri="{FF2B5EF4-FFF2-40B4-BE49-F238E27FC236}">
              <a16:creationId xmlns:a16="http://schemas.microsoft.com/office/drawing/2014/main" id="{5AE36E38-0500-941B-A8AB-8E7355A55C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176" name="Picture 146">
          <a:extLst>
            <a:ext uri="{FF2B5EF4-FFF2-40B4-BE49-F238E27FC236}">
              <a16:creationId xmlns:a16="http://schemas.microsoft.com/office/drawing/2014/main" id="{B2464B5B-166D-6E06-BE6D-E7DA822807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177" name="Picture 147">
          <a:extLst>
            <a:ext uri="{FF2B5EF4-FFF2-40B4-BE49-F238E27FC236}">
              <a16:creationId xmlns:a16="http://schemas.microsoft.com/office/drawing/2014/main" id="{289A8905-2339-FD31-8C6B-4E5578FDAA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178" name="Picture 148">
          <a:extLst>
            <a:ext uri="{FF2B5EF4-FFF2-40B4-BE49-F238E27FC236}">
              <a16:creationId xmlns:a16="http://schemas.microsoft.com/office/drawing/2014/main" id="{3893B693-EFBF-59F7-0327-419E26D5E4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179" name="Picture 149">
          <a:extLst>
            <a:ext uri="{FF2B5EF4-FFF2-40B4-BE49-F238E27FC236}">
              <a16:creationId xmlns:a16="http://schemas.microsoft.com/office/drawing/2014/main" id="{6CBF58D3-C73C-C4F5-0C76-298A6A0DF4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180" name="Picture 150">
          <a:extLst>
            <a:ext uri="{FF2B5EF4-FFF2-40B4-BE49-F238E27FC236}">
              <a16:creationId xmlns:a16="http://schemas.microsoft.com/office/drawing/2014/main" id="{4C75639D-FFC1-00CF-465B-374564B6E1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181" name="Picture 151">
          <a:extLst>
            <a:ext uri="{FF2B5EF4-FFF2-40B4-BE49-F238E27FC236}">
              <a16:creationId xmlns:a16="http://schemas.microsoft.com/office/drawing/2014/main" id="{8B341E4F-1619-C840-E94E-F87B7A6E92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182" name="Picture 152">
          <a:extLst>
            <a:ext uri="{FF2B5EF4-FFF2-40B4-BE49-F238E27FC236}">
              <a16:creationId xmlns:a16="http://schemas.microsoft.com/office/drawing/2014/main" id="{83CBE701-91EA-0C1F-5CE0-4D05DB6326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183" name="Picture 153">
          <a:extLst>
            <a:ext uri="{FF2B5EF4-FFF2-40B4-BE49-F238E27FC236}">
              <a16:creationId xmlns:a16="http://schemas.microsoft.com/office/drawing/2014/main" id="{DBB5368F-4A79-0E60-6451-1C228C9311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184" name="Picture 154">
          <a:extLst>
            <a:ext uri="{FF2B5EF4-FFF2-40B4-BE49-F238E27FC236}">
              <a16:creationId xmlns:a16="http://schemas.microsoft.com/office/drawing/2014/main" id="{12B10F90-D80F-66BB-C26A-CCA6FEC3DD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185" name="Picture 155">
          <a:extLst>
            <a:ext uri="{FF2B5EF4-FFF2-40B4-BE49-F238E27FC236}">
              <a16:creationId xmlns:a16="http://schemas.microsoft.com/office/drawing/2014/main" id="{DF387D68-713C-EE25-01DF-3606F25B1E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186" name="Picture 156">
          <a:extLst>
            <a:ext uri="{FF2B5EF4-FFF2-40B4-BE49-F238E27FC236}">
              <a16:creationId xmlns:a16="http://schemas.microsoft.com/office/drawing/2014/main" id="{DC784882-3146-BCE8-6022-2BDCE8F80A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187" name="Picture 157">
          <a:extLst>
            <a:ext uri="{FF2B5EF4-FFF2-40B4-BE49-F238E27FC236}">
              <a16:creationId xmlns:a16="http://schemas.microsoft.com/office/drawing/2014/main" id="{D5AAFADF-883B-57FE-6E03-49B2C54167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188" name="Picture 158">
          <a:extLst>
            <a:ext uri="{FF2B5EF4-FFF2-40B4-BE49-F238E27FC236}">
              <a16:creationId xmlns:a16="http://schemas.microsoft.com/office/drawing/2014/main" id="{B6625F1B-7E07-4EA6-DC2F-B469B30830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189" name="Picture 159">
          <a:extLst>
            <a:ext uri="{FF2B5EF4-FFF2-40B4-BE49-F238E27FC236}">
              <a16:creationId xmlns:a16="http://schemas.microsoft.com/office/drawing/2014/main" id="{7E17F1A1-2BD3-1A27-B126-75FEE0584F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190" name="Picture 160">
          <a:extLst>
            <a:ext uri="{FF2B5EF4-FFF2-40B4-BE49-F238E27FC236}">
              <a16:creationId xmlns:a16="http://schemas.microsoft.com/office/drawing/2014/main" id="{964DAE43-F910-CB8D-F67C-1641A42219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191" name="Picture 161">
          <a:extLst>
            <a:ext uri="{FF2B5EF4-FFF2-40B4-BE49-F238E27FC236}">
              <a16:creationId xmlns:a16="http://schemas.microsoft.com/office/drawing/2014/main" id="{31CA0FDB-DFA0-32C8-518B-690C75EC56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192" name="Picture 162">
          <a:extLst>
            <a:ext uri="{FF2B5EF4-FFF2-40B4-BE49-F238E27FC236}">
              <a16:creationId xmlns:a16="http://schemas.microsoft.com/office/drawing/2014/main" id="{6A7CD77B-C497-4C1F-B84F-F7ACC838EE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193" name="Picture 163">
          <a:extLst>
            <a:ext uri="{FF2B5EF4-FFF2-40B4-BE49-F238E27FC236}">
              <a16:creationId xmlns:a16="http://schemas.microsoft.com/office/drawing/2014/main" id="{969E6497-5A1F-B27E-A980-5BCB4D97F5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194" name="Picture 164">
          <a:extLst>
            <a:ext uri="{FF2B5EF4-FFF2-40B4-BE49-F238E27FC236}">
              <a16:creationId xmlns:a16="http://schemas.microsoft.com/office/drawing/2014/main" id="{D0D6C8C4-B9AF-4BFD-2FB0-B0CC6FD90B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195" name="Picture 165">
          <a:extLst>
            <a:ext uri="{FF2B5EF4-FFF2-40B4-BE49-F238E27FC236}">
              <a16:creationId xmlns:a16="http://schemas.microsoft.com/office/drawing/2014/main" id="{4DA7E1B3-F6C5-692A-0E6E-9A037D642F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196" name="Picture 166">
          <a:extLst>
            <a:ext uri="{FF2B5EF4-FFF2-40B4-BE49-F238E27FC236}">
              <a16:creationId xmlns:a16="http://schemas.microsoft.com/office/drawing/2014/main" id="{00C84F73-7D96-C045-236F-15D477EBA6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197" name="Picture 167">
          <a:extLst>
            <a:ext uri="{FF2B5EF4-FFF2-40B4-BE49-F238E27FC236}">
              <a16:creationId xmlns:a16="http://schemas.microsoft.com/office/drawing/2014/main" id="{22412CE4-4FBC-CB76-42A3-9975C624AE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198" name="Picture 168">
          <a:extLst>
            <a:ext uri="{FF2B5EF4-FFF2-40B4-BE49-F238E27FC236}">
              <a16:creationId xmlns:a16="http://schemas.microsoft.com/office/drawing/2014/main" id="{6B18CE71-01D9-E3EA-1D72-838AC9F20B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199" name="Picture 169">
          <a:extLst>
            <a:ext uri="{FF2B5EF4-FFF2-40B4-BE49-F238E27FC236}">
              <a16:creationId xmlns:a16="http://schemas.microsoft.com/office/drawing/2014/main" id="{E7436041-5EA4-2D3D-C2D2-F569F675FB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00" name="Picture 170">
          <a:extLst>
            <a:ext uri="{FF2B5EF4-FFF2-40B4-BE49-F238E27FC236}">
              <a16:creationId xmlns:a16="http://schemas.microsoft.com/office/drawing/2014/main" id="{2BAF3DA6-6693-39BD-5992-B219F1B5B2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01" name="Picture 171">
          <a:extLst>
            <a:ext uri="{FF2B5EF4-FFF2-40B4-BE49-F238E27FC236}">
              <a16:creationId xmlns:a16="http://schemas.microsoft.com/office/drawing/2014/main" id="{DEF02930-94D6-C70D-54BD-501D6ED15B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02" name="Picture 172">
          <a:extLst>
            <a:ext uri="{FF2B5EF4-FFF2-40B4-BE49-F238E27FC236}">
              <a16:creationId xmlns:a16="http://schemas.microsoft.com/office/drawing/2014/main" id="{1D93C338-AC54-8509-F827-4C95BB5CE6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03" name="Picture 173">
          <a:extLst>
            <a:ext uri="{FF2B5EF4-FFF2-40B4-BE49-F238E27FC236}">
              <a16:creationId xmlns:a16="http://schemas.microsoft.com/office/drawing/2014/main" id="{9E73815E-D2B6-B497-2522-ECFDC7E77A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04" name="Picture 174">
          <a:extLst>
            <a:ext uri="{FF2B5EF4-FFF2-40B4-BE49-F238E27FC236}">
              <a16:creationId xmlns:a16="http://schemas.microsoft.com/office/drawing/2014/main" id="{7475B1AC-988F-C2E6-67CD-BA3D4C15B9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05" name="Picture 175">
          <a:extLst>
            <a:ext uri="{FF2B5EF4-FFF2-40B4-BE49-F238E27FC236}">
              <a16:creationId xmlns:a16="http://schemas.microsoft.com/office/drawing/2014/main" id="{F2E541D7-3A4A-DFD7-D145-784CBA1B5D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06" name="Picture 176">
          <a:extLst>
            <a:ext uri="{FF2B5EF4-FFF2-40B4-BE49-F238E27FC236}">
              <a16:creationId xmlns:a16="http://schemas.microsoft.com/office/drawing/2014/main" id="{9B3A740C-A350-BC0F-8340-A6C24CBDA3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07" name="Picture 177">
          <a:extLst>
            <a:ext uri="{FF2B5EF4-FFF2-40B4-BE49-F238E27FC236}">
              <a16:creationId xmlns:a16="http://schemas.microsoft.com/office/drawing/2014/main" id="{B282688F-1587-33AB-0143-376F9CF2CE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08" name="Picture 178">
          <a:extLst>
            <a:ext uri="{FF2B5EF4-FFF2-40B4-BE49-F238E27FC236}">
              <a16:creationId xmlns:a16="http://schemas.microsoft.com/office/drawing/2014/main" id="{04A3072E-B7ED-6112-116B-4423379B02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09" name="Picture 179">
          <a:extLst>
            <a:ext uri="{FF2B5EF4-FFF2-40B4-BE49-F238E27FC236}">
              <a16:creationId xmlns:a16="http://schemas.microsoft.com/office/drawing/2014/main" id="{82D498EA-4981-69F5-D432-69B9BF295B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10" name="Picture 180">
          <a:extLst>
            <a:ext uri="{FF2B5EF4-FFF2-40B4-BE49-F238E27FC236}">
              <a16:creationId xmlns:a16="http://schemas.microsoft.com/office/drawing/2014/main" id="{A71E35D1-47E1-0824-379C-EA16104A9B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11" name="Picture 181">
          <a:extLst>
            <a:ext uri="{FF2B5EF4-FFF2-40B4-BE49-F238E27FC236}">
              <a16:creationId xmlns:a16="http://schemas.microsoft.com/office/drawing/2014/main" id="{A15D98FD-D2F5-EE8F-1C69-B1F814707D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12" name="Picture 182">
          <a:extLst>
            <a:ext uri="{FF2B5EF4-FFF2-40B4-BE49-F238E27FC236}">
              <a16:creationId xmlns:a16="http://schemas.microsoft.com/office/drawing/2014/main" id="{F8CED55D-BF43-DD55-444F-F507B70B21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13" name="Picture 183">
          <a:extLst>
            <a:ext uri="{FF2B5EF4-FFF2-40B4-BE49-F238E27FC236}">
              <a16:creationId xmlns:a16="http://schemas.microsoft.com/office/drawing/2014/main" id="{7DB612E4-514B-DC6C-D252-DC761A85AF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14" name="Picture 184">
          <a:extLst>
            <a:ext uri="{FF2B5EF4-FFF2-40B4-BE49-F238E27FC236}">
              <a16:creationId xmlns:a16="http://schemas.microsoft.com/office/drawing/2014/main" id="{20B530AB-8693-9308-C77F-AA0BD91214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15" name="Picture 185">
          <a:extLst>
            <a:ext uri="{FF2B5EF4-FFF2-40B4-BE49-F238E27FC236}">
              <a16:creationId xmlns:a16="http://schemas.microsoft.com/office/drawing/2014/main" id="{6C1D04ED-423A-C88D-C643-1F11A15A7D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16" name="Picture 186">
          <a:extLst>
            <a:ext uri="{FF2B5EF4-FFF2-40B4-BE49-F238E27FC236}">
              <a16:creationId xmlns:a16="http://schemas.microsoft.com/office/drawing/2014/main" id="{5325A475-B87C-051E-BDC9-7844FD97BF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17" name="Picture 187">
          <a:extLst>
            <a:ext uri="{FF2B5EF4-FFF2-40B4-BE49-F238E27FC236}">
              <a16:creationId xmlns:a16="http://schemas.microsoft.com/office/drawing/2014/main" id="{2EFE7A86-74DE-3084-FBD5-C1C15AF166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18" name="Picture 188">
          <a:extLst>
            <a:ext uri="{FF2B5EF4-FFF2-40B4-BE49-F238E27FC236}">
              <a16:creationId xmlns:a16="http://schemas.microsoft.com/office/drawing/2014/main" id="{8A90B60F-8819-36A5-2EFB-6419D6D3F3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19" name="Picture 189">
          <a:extLst>
            <a:ext uri="{FF2B5EF4-FFF2-40B4-BE49-F238E27FC236}">
              <a16:creationId xmlns:a16="http://schemas.microsoft.com/office/drawing/2014/main" id="{83D878E9-FC2D-6C45-5CEC-C15E43FBBC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20" name="Picture 190">
          <a:extLst>
            <a:ext uri="{FF2B5EF4-FFF2-40B4-BE49-F238E27FC236}">
              <a16:creationId xmlns:a16="http://schemas.microsoft.com/office/drawing/2014/main" id="{D42B3474-CBD6-4506-CA52-DCD7B1692B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21" name="Picture 191">
          <a:extLst>
            <a:ext uri="{FF2B5EF4-FFF2-40B4-BE49-F238E27FC236}">
              <a16:creationId xmlns:a16="http://schemas.microsoft.com/office/drawing/2014/main" id="{075E8998-00F5-51B1-806D-F5C7221E25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22" name="Picture 192">
          <a:extLst>
            <a:ext uri="{FF2B5EF4-FFF2-40B4-BE49-F238E27FC236}">
              <a16:creationId xmlns:a16="http://schemas.microsoft.com/office/drawing/2014/main" id="{229376F8-D519-23E5-5996-E345076227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23" name="Picture 193">
          <a:extLst>
            <a:ext uri="{FF2B5EF4-FFF2-40B4-BE49-F238E27FC236}">
              <a16:creationId xmlns:a16="http://schemas.microsoft.com/office/drawing/2014/main" id="{8D777E46-B3E4-F799-2477-FE8A12483D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24" name="Picture 194">
          <a:extLst>
            <a:ext uri="{FF2B5EF4-FFF2-40B4-BE49-F238E27FC236}">
              <a16:creationId xmlns:a16="http://schemas.microsoft.com/office/drawing/2014/main" id="{05CE3D7A-B904-9C4B-39CE-AA7A13794D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25" name="Picture 195">
          <a:extLst>
            <a:ext uri="{FF2B5EF4-FFF2-40B4-BE49-F238E27FC236}">
              <a16:creationId xmlns:a16="http://schemas.microsoft.com/office/drawing/2014/main" id="{F278F70E-EE27-78A2-57EE-0167FCF639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26" name="Picture 196">
          <a:extLst>
            <a:ext uri="{FF2B5EF4-FFF2-40B4-BE49-F238E27FC236}">
              <a16:creationId xmlns:a16="http://schemas.microsoft.com/office/drawing/2014/main" id="{80A571BE-3A0B-51C3-BAE9-C73DF66F98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27" name="Picture 197">
          <a:extLst>
            <a:ext uri="{FF2B5EF4-FFF2-40B4-BE49-F238E27FC236}">
              <a16:creationId xmlns:a16="http://schemas.microsoft.com/office/drawing/2014/main" id="{DA21AE28-17F4-F080-2D77-744637E123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28" name="Picture 198">
          <a:extLst>
            <a:ext uri="{FF2B5EF4-FFF2-40B4-BE49-F238E27FC236}">
              <a16:creationId xmlns:a16="http://schemas.microsoft.com/office/drawing/2014/main" id="{197FC560-34E4-CD2A-DF05-A3F18D7857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29" name="Picture 199">
          <a:extLst>
            <a:ext uri="{FF2B5EF4-FFF2-40B4-BE49-F238E27FC236}">
              <a16:creationId xmlns:a16="http://schemas.microsoft.com/office/drawing/2014/main" id="{3ECD4593-DDFB-C079-2E54-D8C2233E43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30" name="Picture 200">
          <a:extLst>
            <a:ext uri="{FF2B5EF4-FFF2-40B4-BE49-F238E27FC236}">
              <a16:creationId xmlns:a16="http://schemas.microsoft.com/office/drawing/2014/main" id="{985C2099-26D0-CD54-47A4-D8CAA2B93A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31" name="Picture 201">
          <a:extLst>
            <a:ext uri="{FF2B5EF4-FFF2-40B4-BE49-F238E27FC236}">
              <a16:creationId xmlns:a16="http://schemas.microsoft.com/office/drawing/2014/main" id="{08E33AF7-1DE3-DF48-C70C-28BF577957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32" name="Picture 202">
          <a:extLst>
            <a:ext uri="{FF2B5EF4-FFF2-40B4-BE49-F238E27FC236}">
              <a16:creationId xmlns:a16="http://schemas.microsoft.com/office/drawing/2014/main" id="{ACBC4175-A829-40E9-DC6E-34A4533D17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33" name="Picture 203">
          <a:extLst>
            <a:ext uri="{FF2B5EF4-FFF2-40B4-BE49-F238E27FC236}">
              <a16:creationId xmlns:a16="http://schemas.microsoft.com/office/drawing/2014/main" id="{440D51F7-0567-C6A2-1382-9E9E215FED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34" name="Picture 204">
          <a:extLst>
            <a:ext uri="{FF2B5EF4-FFF2-40B4-BE49-F238E27FC236}">
              <a16:creationId xmlns:a16="http://schemas.microsoft.com/office/drawing/2014/main" id="{E0AD948F-07E2-4CFB-55B3-9A370DEB32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35" name="Picture 205">
          <a:extLst>
            <a:ext uri="{FF2B5EF4-FFF2-40B4-BE49-F238E27FC236}">
              <a16:creationId xmlns:a16="http://schemas.microsoft.com/office/drawing/2014/main" id="{6A737DA0-26A3-B4BF-CA96-68F0E9B61F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36" name="Picture 206">
          <a:extLst>
            <a:ext uri="{FF2B5EF4-FFF2-40B4-BE49-F238E27FC236}">
              <a16:creationId xmlns:a16="http://schemas.microsoft.com/office/drawing/2014/main" id="{0ACEF285-8257-ACC1-2E77-90F85E6E8A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37" name="Picture 207">
          <a:extLst>
            <a:ext uri="{FF2B5EF4-FFF2-40B4-BE49-F238E27FC236}">
              <a16:creationId xmlns:a16="http://schemas.microsoft.com/office/drawing/2014/main" id="{35BFFA8F-1A72-BC70-972D-19310A533F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38" name="Picture 208">
          <a:extLst>
            <a:ext uri="{FF2B5EF4-FFF2-40B4-BE49-F238E27FC236}">
              <a16:creationId xmlns:a16="http://schemas.microsoft.com/office/drawing/2014/main" id="{EF49F465-8481-E671-D2E9-E8F72D4478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39" name="Picture 209">
          <a:extLst>
            <a:ext uri="{FF2B5EF4-FFF2-40B4-BE49-F238E27FC236}">
              <a16:creationId xmlns:a16="http://schemas.microsoft.com/office/drawing/2014/main" id="{7C254900-7D36-48E0-1FE3-5AF20E2D20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40" name="Picture 210">
          <a:extLst>
            <a:ext uri="{FF2B5EF4-FFF2-40B4-BE49-F238E27FC236}">
              <a16:creationId xmlns:a16="http://schemas.microsoft.com/office/drawing/2014/main" id="{4C94CCC1-65C9-5005-6F0A-35EDC36733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41" name="Picture 211">
          <a:extLst>
            <a:ext uri="{FF2B5EF4-FFF2-40B4-BE49-F238E27FC236}">
              <a16:creationId xmlns:a16="http://schemas.microsoft.com/office/drawing/2014/main" id="{59E51BDC-E533-D1E5-589B-238382A40C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42" name="Picture 212">
          <a:extLst>
            <a:ext uri="{FF2B5EF4-FFF2-40B4-BE49-F238E27FC236}">
              <a16:creationId xmlns:a16="http://schemas.microsoft.com/office/drawing/2014/main" id="{E4BA015A-12E9-2715-CB6D-60C71B593B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43" name="Picture 213">
          <a:extLst>
            <a:ext uri="{FF2B5EF4-FFF2-40B4-BE49-F238E27FC236}">
              <a16:creationId xmlns:a16="http://schemas.microsoft.com/office/drawing/2014/main" id="{0FCE1184-6479-A652-EB82-9EB5EC0053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44" name="Picture 214">
          <a:extLst>
            <a:ext uri="{FF2B5EF4-FFF2-40B4-BE49-F238E27FC236}">
              <a16:creationId xmlns:a16="http://schemas.microsoft.com/office/drawing/2014/main" id="{8A1696A3-1AD6-6941-7D86-D1F776FD2A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45" name="Picture 215">
          <a:extLst>
            <a:ext uri="{FF2B5EF4-FFF2-40B4-BE49-F238E27FC236}">
              <a16:creationId xmlns:a16="http://schemas.microsoft.com/office/drawing/2014/main" id="{400D5143-43AF-2301-11D3-6676C36A16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46" name="Picture 216">
          <a:extLst>
            <a:ext uri="{FF2B5EF4-FFF2-40B4-BE49-F238E27FC236}">
              <a16:creationId xmlns:a16="http://schemas.microsoft.com/office/drawing/2014/main" id="{C20F6CC9-A215-CB20-2F74-7819CDC717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47" name="Picture 217">
          <a:extLst>
            <a:ext uri="{FF2B5EF4-FFF2-40B4-BE49-F238E27FC236}">
              <a16:creationId xmlns:a16="http://schemas.microsoft.com/office/drawing/2014/main" id="{4425BD0C-08A7-B359-3944-EB41DC76FB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48" name="Picture 218">
          <a:extLst>
            <a:ext uri="{FF2B5EF4-FFF2-40B4-BE49-F238E27FC236}">
              <a16:creationId xmlns:a16="http://schemas.microsoft.com/office/drawing/2014/main" id="{2226847C-D64C-8533-DA47-1025198C98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49" name="Picture 219">
          <a:extLst>
            <a:ext uri="{FF2B5EF4-FFF2-40B4-BE49-F238E27FC236}">
              <a16:creationId xmlns:a16="http://schemas.microsoft.com/office/drawing/2014/main" id="{8DF796AD-D4A8-EEBE-5548-01A7A8D2D2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50" name="Picture 220">
          <a:extLst>
            <a:ext uri="{FF2B5EF4-FFF2-40B4-BE49-F238E27FC236}">
              <a16:creationId xmlns:a16="http://schemas.microsoft.com/office/drawing/2014/main" id="{DB9E83BA-27EF-3BB7-06F9-6339E877C8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51" name="Picture 221">
          <a:extLst>
            <a:ext uri="{FF2B5EF4-FFF2-40B4-BE49-F238E27FC236}">
              <a16:creationId xmlns:a16="http://schemas.microsoft.com/office/drawing/2014/main" id="{44209D73-E726-E7B2-29B1-B084A445A1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52" name="Picture 222">
          <a:extLst>
            <a:ext uri="{FF2B5EF4-FFF2-40B4-BE49-F238E27FC236}">
              <a16:creationId xmlns:a16="http://schemas.microsoft.com/office/drawing/2014/main" id="{F9049348-013B-08D0-B18C-4CA75A0C82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53" name="Picture 223">
          <a:extLst>
            <a:ext uri="{FF2B5EF4-FFF2-40B4-BE49-F238E27FC236}">
              <a16:creationId xmlns:a16="http://schemas.microsoft.com/office/drawing/2014/main" id="{8EA460AB-F238-3B45-6811-2C4E6F1AEB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54" name="Picture 224">
          <a:extLst>
            <a:ext uri="{FF2B5EF4-FFF2-40B4-BE49-F238E27FC236}">
              <a16:creationId xmlns:a16="http://schemas.microsoft.com/office/drawing/2014/main" id="{3D855E03-8E59-5A3C-276C-3FEAA0EBE0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55" name="Picture 225">
          <a:extLst>
            <a:ext uri="{FF2B5EF4-FFF2-40B4-BE49-F238E27FC236}">
              <a16:creationId xmlns:a16="http://schemas.microsoft.com/office/drawing/2014/main" id="{2CFD1DA3-826A-BBB7-0329-FB0026E925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56" name="Picture 226">
          <a:extLst>
            <a:ext uri="{FF2B5EF4-FFF2-40B4-BE49-F238E27FC236}">
              <a16:creationId xmlns:a16="http://schemas.microsoft.com/office/drawing/2014/main" id="{2C8BEE45-F562-2985-D830-6DFC6856BB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57" name="Picture 227">
          <a:extLst>
            <a:ext uri="{FF2B5EF4-FFF2-40B4-BE49-F238E27FC236}">
              <a16:creationId xmlns:a16="http://schemas.microsoft.com/office/drawing/2014/main" id="{738DE51F-C309-2097-E56C-60FC6664D8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58" name="Picture 228">
          <a:extLst>
            <a:ext uri="{FF2B5EF4-FFF2-40B4-BE49-F238E27FC236}">
              <a16:creationId xmlns:a16="http://schemas.microsoft.com/office/drawing/2014/main" id="{F447BD05-575A-262E-D3D9-CDC071DA91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59" name="Picture 229">
          <a:extLst>
            <a:ext uri="{FF2B5EF4-FFF2-40B4-BE49-F238E27FC236}">
              <a16:creationId xmlns:a16="http://schemas.microsoft.com/office/drawing/2014/main" id="{DC410D80-64C4-C8AB-5D99-CE31782656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60" name="Picture 230">
          <a:extLst>
            <a:ext uri="{FF2B5EF4-FFF2-40B4-BE49-F238E27FC236}">
              <a16:creationId xmlns:a16="http://schemas.microsoft.com/office/drawing/2014/main" id="{50B000B5-D079-FCB3-BD12-569CDC3FEA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61" name="Picture 231">
          <a:extLst>
            <a:ext uri="{FF2B5EF4-FFF2-40B4-BE49-F238E27FC236}">
              <a16:creationId xmlns:a16="http://schemas.microsoft.com/office/drawing/2014/main" id="{703AFDCB-FD8C-8DF9-0813-DB7AF8CF84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62" name="Picture 232">
          <a:extLst>
            <a:ext uri="{FF2B5EF4-FFF2-40B4-BE49-F238E27FC236}">
              <a16:creationId xmlns:a16="http://schemas.microsoft.com/office/drawing/2014/main" id="{88334069-EF0C-BA37-6102-C7E475C335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63" name="Picture 233">
          <a:extLst>
            <a:ext uri="{FF2B5EF4-FFF2-40B4-BE49-F238E27FC236}">
              <a16:creationId xmlns:a16="http://schemas.microsoft.com/office/drawing/2014/main" id="{46AF9335-3D03-BDC0-33E6-D6E67E4802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64" name="Picture 234">
          <a:extLst>
            <a:ext uri="{FF2B5EF4-FFF2-40B4-BE49-F238E27FC236}">
              <a16:creationId xmlns:a16="http://schemas.microsoft.com/office/drawing/2014/main" id="{A69FE423-9CAD-D37B-C82D-E7CD6111C2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65" name="Picture 235">
          <a:extLst>
            <a:ext uri="{FF2B5EF4-FFF2-40B4-BE49-F238E27FC236}">
              <a16:creationId xmlns:a16="http://schemas.microsoft.com/office/drawing/2014/main" id="{70215F12-986F-8EF1-C92C-EEF2AE9A1C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66" name="Picture 236">
          <a:extLst>
            <a:ext uri="{FF2B5EF4-FFF2-40B4-BE49-F238E27FC236}">
              <a16:creationId xmlns:a16="http://schemas.microsoft.com/office/drawing/2014/main" id="{AD0C6738-D6D9-B645-4122-66CA29D3EA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67" name="Picture 237">
          <a:extLst>
            <a:ext uri="{FF2B5EF4-FFF2-40B4-BE49-F238E27FC236}">
              <a16:creationId xmlns:a16="http://schemas.microsoft.com/office/drawing/2014/main" id="{2F27AC9F-786D-5CD2-85EC-0099117BFF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68" name="Picture 238">
          <a:extLst>
            <a:ext uri="{FF2B5EF4-FFF2-40B4-BE49-F238E27FC236}">
              <a16:creationId xmlns:a16="http://schemas.microsoft.com/office/drawing/2014/main" id="{14AFC24B-434F-49E6-2CF9-386F370E0B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69" name="Picture 239">
          <a:extLst>
            <a:ext uri="{FF2B5EF4-FFF2-40B4-BE49-F238E27FC236}">
              <a16:creationId xmlns:a16="http://schemas.microsoft.com/office/drawing/2014/main" id="{E806209A-AC20-5143-752E-69698BFADD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70" name="Picture 240">
          <a:extLst>
            <a:ext uri="{FF2B5EF4-FFF2-40B4-BE49-F238E27FC236}">
              <a16:creationId xmlns:a16="http://schemas.microsoft.com/office/drawing/2014/main" id="{6FD2D1CE-4BB8-F13A-53BB-31ECFEBC2E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71" name="Picture 241">
          <a:extLst>
            <a:ext uri="{FF2B5EF4-FFF2-40B4-BE49-F238E27FC236}">
              <a16:creationId xmlns:a16="http://schemas.microsoft.com/office/drawing/2014/main" id="{543207CD-C853-F47F-803E-6171F77947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72" name="Picture 242">
          <a:extLst>
            <a:ext uri="{FF2B5EF4-FFF2-40B4-BE49-F238E27FC236}">
              <a16:creationId xmlns:a16="http://schemas.microsoft.com/office/drawing/2014/main" id="{F1F97089-C332-9474-FCEA-16DE6D80A9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73" name="Picture 243">
          <a:extLst>
            <a:ext uri="{FF2B5EF4-FFF2-40B4-BE49-F238E27FC236}">
              <a16:creationId xmlns:a16="http://schemas.microsoft.com/office/drawing/2014/main" id="{6812206D-6B08-7690-D31B-5055DD42D4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74" name="Picture 244">
          <a:extLst>
            <a:ext uri="{FF2B5EF4-FFF2-40B4-BE49-F238E27FC236}">
              <a16:creationId xmlns:a16="http://schemas.microsoft.com/office/drawing/2014/main" id="{22CA43FA-6694-3D31-AE2E-E0F52A849C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75" name="Picture 245">
          <a:extLst>
            <a:ext uri="{FF2B5EF4-FFF2-40B4-BE49-F238E27FC236}">
              <a16:creationId xmlns:a16="http://schemas.microsoft.com/office/drawing/2014/main" id="{21F11B38-97C3-AFBF-840E-65060341D0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76" name="Picture 246">
          <a:extLst>
            <a:ext uri="{FF2B5EF4-FFF2-40B4-BE49-F238E27FC236}">
              <a16:creationId xmlns:a16="http://schemas.microsoft.com/office/drawing/2014/main" id="{5E253F3D-4A01-58A0-E760-79332F9522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77" name="Picture 247">
          <a:extLst>
            <a:ext uri="{FF2B5EF4-FFF2-40B4-BE49-F238E27FC236}">
              <a16:creationId xmlns:a16="http://schemas.microsoft.com/office/drawing/2014/main" id="{4E2EF173-7B48-FB93-0F73-85B471FCBB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78" name="Picture 248">
          <a:extLst>
            <a:ext uri="{FF2B5EF4-FFF2-40B4-BE49-F238E27FC236}">
              <a16:creationId xmlns:a16="http://schemas.microsoft.com/office/drawing/2014/main" id="{282067EB-EAA4-8CFC-6563-41E2AD317A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79" name="Picture 249">
          <a:extLst>
            <a:ext uri="{FF2B5EF4-FFF2-40B4-BE49-F238E27FC236}">
              <a16:creationId xmlns:a16="http://schemas.microsoft.com/office/drawing/2014/main" id="{FEC48D77-9BF0-0A7E-5D58-9EA05052DC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80" name="Picture 250">
          <a:extLst>
            <a:ext uri="{FF2B5EF4-FFF2-40B4-BE49-F238E27FC236}">
              <a16:creationId xmlns:a16="http://schemas.microsoft.com/office/drawing/2014/main" id="{22A246EF-ADE3-B9AB-25B4-50598C7D48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81" name="Picture 251">
          <a:extLst>
            <a:ext uri="{FF2B5EF4-FFF2-40B4-BE49-F238E27FC236}">
              <a16:creationId xmlns:a16="http://schemas.microsoft.com/office/drawing/2014/main" id="{314FB91B-BF63-E57A-2134-19E27044D2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12</xdr:col>
      <xdr:colOff>0</xdr:colOff>
      <xdr:row>0</xdr:row>
      <xdr:rowOff>0</xdr:rowOff>
    </xdr:from>
    <xdr:to>
      <xdr:col>12</xdr:col>
      <xdr:colOff>0</xdr:colOff>
      <xdr:row>0</xdr:row>
      <xdr:rowOff>0</xdr:rowOff>
    </xdr:to>
    <xdr:pic>
      <xdr:nvPicPr>
        <xdr:cNvPr id="105282" name="Picture 252">
          <a:extLst>
            <a:ext uri="{FF2B5EF4-FFF2-40B4-BE49-F238E27FC236}">
              <a16:creationId xmlns:a16="http://schemas.microsoft.com/office/drawing/2014/main" id="{50403748-2BD0-5D6B-CB8A-EAEFBBBA2A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4075"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6"/>
  <sheetViews>
    <sheetView workbookViewId="0">
      <pane ySplit="1" topLeftCell="A11" activePane="bottomLeft" state="frozen"/>
      <selection pane="bottomLeft" activeCell="A12" sqref="A12:B12"/>
    </sheetView>
  </sheetViews>
  <sheetFormatPr baseColWidth="10" defaultRowHeight="12.75" x14ac:dyDescent="0.2"/>
  <cols>
    <col min="1" max="1" width="18.85546875" style="7" customWidth="1"/>
    <col min="2" max="2" width="38" style="7" customWidth="1"/>
    <col min="3" max="3" width="36.42578125" style="7" customWidth="1"/>
    <col min="4" max="4" width="42.28515625" style="7" customWidth="1"/>
    <col min="5" max="5" width="5.28515625" style="7" bestFit="1" customWidth="1"/>
    <col min="6" max="6" width="7.7109375" style="7" bestFit="1" customWidth="1"/>
    <col min="7" max="8" width="11.42578125" style="7"/>
    <col min="9" max="9" width="16.7109375" style="7" customWidth="1"/>
    <col min="10" max="10" width="6.7109375" style="7" bestFit="1" customWidth="1"/>
    <col min="11" max="16384" width="11.42578125" style="7"/>
  </cols>
  <sheetData>
    <row r="1" spans="1:4" s="1" customFormat="1" ht="39.75" customHeight="1" x14ac:dyDescent="0.2">
      <c r="A1" s="122" t="s">
        <v>2</v>
      </c>
      <c r="B1" s="123"/>
      <c r="C1" s="123"/>
      <c r="D1" s="123"/>
    </row>
    <row r="2" spans="1:4" s="1" customFormat="1" x14ac:dyDescent="0.2">
      <c r="A2" s="124" t="s">
        <v>3</v>
      </c>
      <c r="B2" s="125"/>
      <c r="C2" s="125"/>
      <c r="D2" s="126"/>
    </row>
    <row r="3" spans="1:4" s="1" customFormat="1" ht="23.25" x14ac:dyDescent="0.2">
      <c r="A3" s="2"/>
      <c r="B3" s="2"/>
      <c r="C3" s="3"/>
      <c r="D3" s="3"/>
    </row>
    <row r="4" spans="1:4" s="1" customFormat="1" x14ac:dyDescent="0.2">
      <c r="A4" s="120" t="s">
        <v>4</v>
      </c>
      <c r="B4" s="121"/>
      <c r="C4" s="42"/>
      <c r="D4" s="42"/>
    </row>
    <row r="5" spans="1:4" s="4" customFormat="1" x14ac:dyDescent="0.2">
      <c r="A5" s="39"/>
      <c r="B5" s="41" t="s">
        <v>5</v>
      </c>
      <c r="C5" s="41" t="s">
        <v>6</v>
      </c>
      <c r="D5" s="41" t="s">
        <v>7</v>
      </c>
    </row>
    <row r="6" spans="1:4" s="1" customFormat="1" ht="56.25" x14ac:dyDescent="0.2">
      <c r="A6" s="41" t="s">
        <v>8</v>
      </c>
      <c r="B6" s="40" t="s">
        <v>9</v>
      </c>
      <c r="C6" s="40" t="s">
        <v>10</v>
      </c>
      <c r="D6" s="40" t="s">
        <v>68</v>
      </c>
    </row>
    <row r="7" spans="1:4" s="1" customFormat="1" ht="78.75" x14ac:dyDescent="0.2">
      <c r="A7" s="41" t="s">
        <v>11</v>
      </c>
      <c r="B7" s="40" t="s">
        <v>12</v>
      </c>
      <c r="C7" s="40" t="s">
        <v>13</v>
      </c>
      <c r="D7" s="40" t="s">
        <v>69</v>
      </c>
    </row>
    <row r="8" spans="1:4" s="1" customFormat="1" ht="90" x14ac:dyDescent="0.2">
      <c r="A8" s="41" t="s">
        <v>14</v>
      </c>
      <c r="B8" s="40" t="s">
        <v>15</v>
      </c>
      <c r="C8" s="40" t="s">
        <v>16</v>
      </c>
      <c r="D8" s="40" t="s">
        <v>70</v>
      </c>
    </row>
    <row r="9" spans="1:4" s="1" customFormat="1" ht="67.5" x14ac:dyDescent="0.2">
      <c r="A9" s="41" t="s">
        <v>17</v>
      </c>
      <c r="B9" s="40" t="s">
        <v>18</v>
      </c>
      <c r="C9" s="40" t="s">
        <v>19</v>
      </c>
      <c r="D9" s="40" t="s">
        <v>71</v>
      </c>
    </row>
    <row r="10" spans="1:4" s="1" customFormat="1" x14ac:dyDescent="0.2"/>
    <row r="11" spans="1:4" s="1" customFormat="1" x14ac:dyDescent="0.2"/>
    <row r="12" spans="1:4" s="1" customFormat="1" x14ac:dyDescent="0.2">
      <c r="A12" s="120" t="s">
        <v>20</v>
      </c>
      <c r="B12" s="121"/>
      <c r="C12" s="120"/>
      <c r="D12" s="121"/>
    </row>
    <row r="13" spans="1:4" s="1" customFormat="1" ht="24.75" customHeight="1" x14ac:dyDescent="0.2">
      <c r="A13" s="39" t="s">
        <v>114</v>
      </c>
      <c r="B13" s="43" t="s">
        <v>21</v>
      </c>
      <c r="C13" s="43" t="s">
        <v>22</v>
      </c>
      <c r="D13" s="43" t="s">
        <v>23</v>
      </c>
    </row>
    <row r="14" spans="1:4" s="1" customFormat="1" x14ac:dyDescent="0.2">
      <c r="A14" s="43" t="s">
        <v>21</v>
      </c>
      <c r="B14" s="40" t="s">
        <v>25</v>
      </c>
      <c r="C14" s="40" t="s">
        <v>21</v>
      </c>
      <c r="D14" s="40" t="s">
        <v>22</v>
      </c>
    </row>
    <row r="15" spans="1:4" s="1" customFormat="1" x14ac:dyDescent="0.2">
      <c r="A15" s="43" t="s">
        <v>22</v>
      </c>
      <c r="B15" s="40" t="s">
        <v>21</v>
      </c>
      <c r="C15" s="40" t="s">
        <v>22</v>
      </c>
      <c r="D15" s="40" t="s">
        <v>23</v>
      </c>
    </row>
    <row r="16" spans="1:4" s="1" customFormat="1" x14ac:dyDescent="0.2">
      <c r="A16" s="43" t="s">
        <v>23</v>
      </c>
      <c r="B16" s="40" t="s">
        <v>22</v>
      </c>
      <c r="C16" s="40" t="s">
        <v>23</v>
      </c>
      <c r="D16" s="40" t="s">
        <v>167</v>
      </c>
    </row>
    <row r="17" spans="1:6" s="1" customFormat="1" ht="15" x14ac:dyDescent="0.2">
      <c r="A17" s="5"/>
      <c r="B17" s="6"/>
      <c r="C17" s="6"/>
      <c r="D17" s="6"/>
    </row>
    <row r="18" spans="1:6" ht="15" x14ac:dyDescent="0.2">
      <c r="A18" s="5"/>
      <c r="B18" s="6"/>
      <c r="C18" s="6"/>
      <c r="D18" s="6"/>
    </row>
    <row r="19" spans="1:6" x14ac:dyDescent="0.2">
      <c r="A19" s="120" t="s">
        <v>24</v>
      </c>
      <c r="B19" s="121"/>
      <c r="C19" s="120"/>
      <c r="D19" s="121"/>
      <c r="E19" s="120"/>
      <c r="F19" s="121"/>
    </row>
    <row r="20" spans="1:6" ht="22.5" x14ac:dyDescent="0.2">
      <c r="A20" s="39" t="s">
        <v>72</v>
      </c>
      <c r="B20" s="43" t="s">
        <v>25</v>
      </c>
      <c r="C20" s="43" t="s">
        <v>21</v>
      </c>
      <c r="D20" s="43" t="s">
        <v>22</v>
      </c>
      <c r="E20" s="43" t="s">
        <v>23</v>
      </c>
      <c r="F20" s="43" t="s">
        <v>26</v>
      </c>
    </row>
    <row r="21" spans="1:6" x14ac:dyDescent="0.2">
      <c r="A21" s="43" t="s">
        <v>8</v>
      </c>
      <c r="B21" s="85">
        <v>1</v>
      </c>
      <c r="C21" s="85">
        <v>2</v>
      </c>
      <c r="D21" s="85">
        <v>3</v>
      </c>
      <c r="E21" s="85">
        <v>4</v>
      </c>
      <c r="F21" s="44">
        <v>5</v>
      </c>
    </row>
    <row r="22" spans="1:6" x14ac:dyDescent="0.2">
      <c r="A22" s="43" t="s">
        <v>11</v>
      </c>
      <c r="B22" s="85">
        <v>2</v>
      </c>
      <c r="C22" s="85">
        <v>3</v>
      </c>
      <c r="D22" s="85">
        <v>4</v>
      </c>
      <c r="E22" s="44">
        <v>5</v>
      </c>
      <c r="F22" s="45">
        <v>6</v>
      </c>
    </row>
    <row r="23" spans="1:6" x14ac:dyDescent="0.2">
      <c r="A23" s="43" t="s">
        <v>14</v>
      </c>
      <c r="B23" s="85">
        <v>3</v>
      </c>
      <c r="C23" s="85">
        <v>4</v>
      </c>
      <c r="D23" s="44">
        <v>5</v>
      </c>
      <c r="E23" s="45">
        <v>6</v>
      </c>
      <c r="F23" s="45">
        <v>7</v>
      </c>
    </row>
    <row r="24" spans="1:6" x14ac:dyDescent="0.2">
      <c r="A24" s="43" t="s">
        <v>17</v>
      </c>
      <c r="B24" s="85">
        <v>4</v>
      </c>
      <c r="C24" s="44">
        <v>5</v>
      </c>
      <c r="D24" s="45">
        <v>6</v>
      </c>
      <c r="E24" s="45">
        <v>7</v>
      </c>
      <c r="F24" s="45">
        <v>8</v>
      </c>
    </row>
    <row r="27" spans="1:6" s="1" customFormat="1" x14ac:dyDescent="0.2">
      <c r="A27" s="120" t="s">
        <v>27</v>
      </c>
      <c r="B27" s="121"/>
      <c r="C27" s="46"/>
      <c r="D27" s="8"/>
    </row>
    <row r="28" spans="1:6" s="1" customFormat="1" ht="22.5" x14ac:dyDescent="0.2">
      <c r="A28" s="40">
        <v>1</v>
      </c>
      <c r="B28" s="47" t="s">
        <v>28</v>
      </c>
      <c r="C28" s="40" t="s">
        <v>29</v>
      </c>
    </row>
    <row r="29" spans="1:6" s="1" customFormat="1" ht="22.5" x14ac:dyDescent="0.2">
      <c r="A29" s="40">
        <v>2</v>
      </c>
      <c r="B29" s="47" t="s">
        <v>30</v>
      </c>
      <c r="C29" s="40" t="s">
        <v>31</v>
      </c>
    </row>
    <row r="30" spans="1:6" s="1" customFormat="1" ht="22.5" x14ac:dyDescent="0.2">
      <c r="A30" s="40">
        <v>3</v>
      </c>
      <c r="B30" s="47" t="s">
        <v>32</v>
      </c>
      <c r="C30" s="40" t="s">
        <v>33</v>
      </c>
    </row>
    <row r="31" spans="1:6" s="1" customFormat="1" ht="45" x14ac:dyDescent="0.2">
      <c r="A31" s="40">
        <v>4</v>
      </c>
      <c r="B31" s="84" t="s">
        <v>34</v>
      </c>
      <c r="C31" s="40" t="s">
        <v>35</v>
      </c>
    </row>
    <row r="32" spans="1:6" s="1" customFormat="1" ht="33.75" x14ac:dyDescent="0.2">
      <c r="A32" s="40">
        <v>5</v>
      </c>
      <c r="B32" s="48" t="s">
        <v>36</v>
      </c>
      <c r="C32" s="40" t="s">
        <v>37</v>
      </c>
    </row>
    <row r="33" spans="1:3" s="1" customFormat="1" ht="33.75" x14ac:dyDescent="0.2">
      <c r="A33" s="40">
        <v>6</v>
      </c>
      <c r="B33" s="49" t="s">
        <v>38</v>
      </c>
      <c r="C33" s="40" t="s">
        <v>39</v>
      </c>
    </row>
    <row r="34" spans="1:3" s="1" customFormat="1" ht="56.25" x14ac:dyDescent="0.2">
      <c r="A34" s="40">
        <v>7</v>
      </c>
      <c r="B34" s="49" t="s">
        <v>40</v>
      </c>
      <c r="C34" s="40" t="s">
        <v>41</v>
      </c>
    </row>
    <row r="35" spans="1:3" s="1" customFormat="1" ht="56.25" x14ac:dyDescent="0.2">
      <c r="A35" s="40">
        <v>8</v>
      </c>
      <c r="B35" s="49" t="s">
        <v>42</v>
      </c>
      <c r="C35" s="40" t="s">
        <v>43</v>
      </c>
    </row>
    <row r="36" spans="1:3" x14ac:dyDescent="0.2">
      <c r="A36" s="9"/>
      <c r="B36" s="10"/>
    </row>
  </sheetData>
  <mergeCells count="9">
    <mergeCell ref="E19:F19"/>
    <mergeCell ref="A27:B27"/>
    <mergeCell ref="A1:D1"/>
    <mergeCell ref="A2:D2"/>
    <mergeCell ref="A4:B4"/>
    <mergeCell ref="A12:B12"/>
    <mergeCell ref="C12:D12"/>
    <mergeCell ref="A19:B19"/>
    <mergeCell ref="C19:D19"/>
  </mergeCells>
  <phoneticPr fontId="4" type="noConversion"/>
  <pageMargins left="0.31" right="0.21" top="0.74803149606299213" bottom="0.74803149606299213" header="0.31496062992125984" footer="0.31496062992125984"/>
  <pageSetup paperSize="9" orientation="landscape" horizontalDpi="200" verticalDpi="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40"/>
  <sheetViews>
    <sheetView showGridLines="0" topLeftCell="A13" workbookViewId="0">
      <selection activeCell="B5" sqref="B5"/>
    </sheetView>
  </sheetViews>
  <sheetFormatPr baseColWidth="10" defaultRowHeight="24" customHeight="1" x14ac:dyDescent="0.2"/>
  <cols>
    <col min="1" max="1" width="22" style="18" customWidth="1"/>
    <col min="2" max="2" width="11" style="19" customWidth="1"/>
    <col min="3" max="3" width="17.85546875" style="19" customWidth="1"/>
    <col min="4" max="4" width="11" style="18" customWidth="1"/>
    <col min="5" max="5" width="10.28515625" style="20" customWidth="1"/>
    <col min="6" max="6" width="11.7109375" style="20" customWidth="1"/>
    <col min="7" max="7" width="8.140625" style="11" customWidth="1"/>
    <col min="8" max="8" width="10" style="18" customWidth="1"/>
    <col min="9" max="10" width="10.7109375" style="21" customWidth="1"/>
    <col min="11" max="11" width="13.85546875" style="21" customWidth="1"/>
    <col min="12" max="16384" width="11.42578125" style="12"/>
  </cols>
  <sheetData>
    <row r="1" spans="1:11" s="30" customFormat="1" ht="24" customHeight="1" x14ac:dyDescent="0.2">
      <c r="A1" s="26" t="s">
        <v>67</v>
      </c>
      <c r="B1" s="27"/>
      <c r="C1" s="27"/>
      <c r="D1" s="26"/>
      <c r="E1" s="28"/>
      <c r="F1" s="28"/>
      <c r="G1" s="29"/>
      <c r="H1" s="26"/>
      <c r="I1" s="31"/>
      <c r="J1" s="31"/>
      <c r="K1" s="31"/>
    </row>
    <row r="2" spans="1:11" s="30" customFormat="1" ht="24" customHeight="1" thickBot="1" x14ac:dyDescent="0.25">
      <c r="A2" s="26" t="s">
        <v>65</v>
      </c>
      <c r="B2" s="27"/>
      <c r="C2" s="27"/>
      <c r="D2" s="26"/>
      <c r="E2" s="28"/>
      <c r="F2" s="28"/>
      <c r="G2" s="29"/>
      <c r="H2" s="26"/>
      <c r="I2" s="31"/>
      <c r="J2" s="31"/>
      <c r="K2" s="31"/>
    </row>
    <row r="3" spans="1:11" s="11" customFormat="1" ht="24" customHeight="1" x14ac:dyDescent="0.2">
      <c r="A3" s="127" t="s">
        <v>54</v>
      </c>
      <c r="B3" s="128"/>
      <c r="C3" s="128"/>
      <c r="D3" s="128"/>
      <c r="E3" s="128"/>
      <c r="F3" s="128"/>
      <c r="G3" s="128"/>
      <c r="H3" s="128"/>
      <c r="I3" s="129" t="s">
        <v>73</v>
      </c>
      <c r="J3" s="130"/>
      <c r="K3" s="131"/>
    </row>
    <row r="4" spans="1:11" ht="24" customHeight="1" x14ac:dyDescent="0.2">
      <c r="A4" s="38" t="s">
        <v>55</v>
      </c>
      <c r="B4" s="34" t="s">
        <v>56</v>
      </c>
      <c r="C4" s="34" t="s">
        <v>0</v>
      </c>
      <c r="D4" s="33" t="s">
        <v>1</v>
      </c>
      <c r="E4" s="35" t="s">
        <v>57</v>
      </c>
      <c r="F4" s="35" t="s">
        <v>88</v>
      </c>
      <c r="G4" s="35" t="s">
        <v>66</v>
      </c>
      <c r="H4" s="35" t="s">
        <v>58</v>
      </c>
      <c r="I4" s="36" t="s">
        <v>59</v>
      </c>
      <c r="J4" s="36" t="s">
        <v>60</v>
      </c>
      <c r="K4" s="36" t="s">
        <v>61</v>
      </c>
    </row>
    <row r="5" spans="1:11" s="13" customFormat="1" ht="24" customHeight="1" x14ac:dyDescent="0.2">
      <c r="A5" s="37" t="s">
        <v>87</v>
      </c>
      <c r="B5" s="15" t="s">
        <v>169</v>
      </c>
      <c r="C5" s="118" t="s">
        <v>86</v>
      </c>
      <c r="D5" s="15"/>
      <c r="E5" s="16"/>
      <c r="F5" s="16"/>
      <c r="G5" s="50"/>
      <c r="H5" s="15"/>
      <c r="I5" s="14"/>
      <c r="J5" s="14"/>
      <c r="K5" s="14"/>
    </row>
    <row r="6" spans="1:11" s="13" customFormat="1" ht="24" customHeight="1" x14ac:dyDescent="0.2">
      <c r="A6" s="37" t="s">
        <v>174</v>
      </c>
      <c r="B6" s="15" t="s">
        <v>198</v>
      </c>
      <c r="C6" s="118" t="s">
        <v>168</v>
      </c>
      <c r="D6" s="15"/>
      <c r="E6" s="16"/>
      <c r="F6" s="16"/>
      <c r="G6" s="50"/>
      <c r="H6" s="15"/>
      <c r="I6" s="14"/>
      <c r="J6" s="14"/>
      <c r="K6" s="14"/>
    </row>
    <row r="7" spans="1:11" s="13" customFormat="1" ht="24" customHeight="1" x14ac:dyDescent="0.2">
      <c r="A7" s="37" t="s">
        <v>175</v>
      </c>
      <c r="B7" s="15" t="s">
        <v>197</v>
      </c>
      <c r="C7" s="118" t="s">
        <v>170</v>
      </c>
      <c r="D7" s="15"/>
      <c r="E7" s="16"/>
      <c r="F7" s="16"/>
      <c r="G7" s="50"/>
      <c r="H7" s="15"/>
      <c r="I7" s="14"/>
      <c r="J7" s="14"/>
      <c r="K7" s="14"/>
    </row>
    <row r="8" spans="1:11" s="13" customFormat="1" ht="24" customHeight="1" x14ac:dyDescent="0.2">
      <c r="A8" s="37" t="s">
        <v>176</v>
      </c>
      <c r="B8" s="15" t="s">
        <v>196</v>
      </c>
      <c r="C8" s="118" t="s">
        <v>76</v>
      </c>
      <c r="D8" s="15"/>
      <c r="E8" s="16"/>
      <c r="F8" s="16"/>
      <c r="G8" s="50"/>
      <c r="H8" s="15"/>
      <c r="I8" s="14"/>
      <c r="J8" s="14"/>
      <c r="K8" s="14"/>
    </row>
    <row r="9" spans="1:11" s="13" customFormat="1" ht="24" customHeight="1" x14ac:dyDescent="0.2">
      <c r="A9" s="37" t="s">
        <v>177</v>
      </c>
      <c r="B9" s="15" t="s">
        <v>195</v>
      </c>
      <c r="C9" s="118" t="s">
        <v>110</v>
      </c>
      <c r="D9" s="15"/>
      <c r="E9" s="16"/>
      <c r="F9" s="16"/>
      <c r="G9" s="50"/>
      <c r="H9" s="15"/>
      <c r="I9" s="14"/>
      <c r="J9" s="14"/>
      <c r="K9" s="14"/>
    </row>
    <row r="10" spans="1:11" s="13" customFormat="1" ht="24" customHeight="1" x14ac:dyDescent="0.2">
      <c r="A10" s="37" t="s">
        <v>178</v>
      </c>
      <c r="B10" s="15" t="s">
        <v>194</v>
      </c>
      <c r="C10" s="118" t="s">
        <v>111</v>
      </c>
      <c r="D10" s="15"/>
      <c r="E10" s="16"/>
      <c r="F10" s="16"/>
      <c r="G10" s="50"/>
      <c r="H10" s="15"/>
      <c r="I10" s="14"/>
      <c r="J10" s="14"/>
      <c r="K10" s="14"/>
    </row>
    <row r="11" spans="1:11" s="13" customFormat="1" ht="24" customHeight="1" x14ac:dyDescent="0.2">
      <c r="A11" s="37" t="s">
        <v>187</v>
      </c>
      <c r="B11" s="15" t="s">
        <v>193</v>
      </c>
      <c r="C11" s="118" t="s">
        <v>77</v>
      </c>
      <c r="D11" s="15"/>
      <c r="E11" s="16"/>
      <c r="F11" s="16"/>
      <c r="G11" s="50"/>
      <c r="H11" s="15"/>
      <c r="I11" s="17"/>
      <c r="J11" s="17"/>
      <c r="K11" s="17"/>
    </row>
    <row r="12" spans="1:11" s="13" customFormat="1" ht="24" customHeight="1" x14ac:dyDescent="0.2">
      <c r="A12" s="37" t="s">
        <v>186</v>
      </c>
      <c r="B12" s="15" t="s">
        <v>192</v>
      </c>
      <c r="C12" s="118" t="s">
        <v>171</v>
      </c>
      <c r="D12" s="15"/>
      <c r="E12" s="16"/>
      <c r="F12" s="16"/>
      <c r="G12" s="50"/>
      <c r="H12" s="15"/>
      <c r="I12" s="17"/>
      <c r="J12" s="17"/>
      <c r="K12" s="17"/>
    </row>
    <row r="13" spans="1:11" s="13" customFormat="1" ht="24" customHeight="1" x14ac:dyDescent="0.2">
      <c r="A13" s="37" t="s">
        <v>185</v>
      </c>
      <c r="B13" s="15" t="s">
        <v>169</v>
      </c>
      <c r="C13" s="118" t="s">
        <v>172</v>
      </c>
      <c r="D13" s="32"/>
      <c r="E13" s="16"/>
      <c r="F13" s="16"/>
      <c r="G13" s="50"/>
      <c r="H13" s="15"/>
      <c r="I13" s="17"/>
      <c r="J13" s="17"/>
      <c r="K13" s="17"/>
    </row>
    <row r="14" spans="1:11" s="13" customFormat="1" ht="24" customHeight="1" x14ac:dyDescent="0.2">
      <c r="A14" s="37" t="s">
        <v>191</v>
      </c>
      <c r="B14" s="15" t="s">
        <v>184</v>
      </c>
      <c r="C14" s="118" t="s">
        <v>79</v>
      </c>
      <c r="D14" s="32"/>
      <c r="E14" s="16"/>
      <c r="F14" s="16"/>
      <c r="G14" s="50"/>
      <c r="H14" s="15"/>
      <c r="I14" s="17"/>
      <c r="J14" s="17"/>
      <c r="K14" s="17"/>
    </row>
    <row r="15" spans="1:11" s="13" customFormat="1" ht="24" customHeight="1" x14ac:dyDescent="0.2">
      <c r="A15" s="117" t="s">
        <v>180</v>
      </c>
      <c r="B15" s="15" t="s">
        <v>169</v>
      </c>
      <c r="C15" s="118" t="s">
        <v>112</v>
      </c>
      <c r="D15" s="15"/>
      <c r="E15" s="14"/>
      <c r="F15" s="14"/>
      <c r="G15" s="116"/>
      <c r="H15" s="14"/>
      <c r="I15" s="17"/>
      <c r="J15" s="17"/>
      <c r="K15" s="17"/>
    </row>
    <row r="16" spans="1:11" s="13" customFormat="1" ht="24" customHeight="1" x14ac:dyDescent="0.2">
      <c r="A16" s="117" t="s">
        <v>179</v>
      </c>
      <c r="B16" s="15" t="s">
        <v>190</v>
      </c>
      <c r="C16" s="118" t="s">
        <v>80</v>
      </c>
      <c r="D16" s="15"/>
      <c r="E16" s="14"/>
      <c r="F16" s="14"/>
      <c r="G16" s="116"/>
      <c r="H16" s="14"/>
      <c r="I16" s="17"/>
      <c r="J16" s="17"/>
      <c r="K16" s="17"/>
    </row>
    <row r="17" spans="1:11" s="13" customFormat="1" ht="24" customHeight="1" x14ac:dyDescent="0.2">
      <c r="A17" s="117" t="s">
        <v>181</v>
      </c>
      <c r="B17" s="15" t="s">
        <v>189</v>
      </c>
      <c r="C17" s="118" t="s">
        <v>173</v>
      </c>
      <c r="D17" s="15"/>
      <c r="E17" s="14"/>
      <c r="F17" s="14"/>
      <c r="G17" s="116"/>
      <c r="H17" s="14"/>
      <c r="I17" s="17"/>
      <c r="J17" s="17"/>
      <c r="K17" s="17"/>
    </row>
    <row r="18" spans="1:11" s="13" customFormat="1" ht="24" customHeight="1" x14ac:dyDescent="0.2">
      <c r="A18" s="117" t="s">
        <v>182</v>
      </c>
      <c r="B18" s="15" t="s">
        <v>188</v>
      </c>
      <c r="C18" s="118" t="s">
        <v>109</v>
      </c>
      <c r="D18" s="15"/>
      <c r="E18" s="14"/>
      <c r="F18" s="14"/>
      <c r="G18" s="116"/>
      <c r="H18" s="14"/>
      <c r="I18" s="17"/>
      <c r="J18" s="17"/>
      <c r="K18" s="17"/>
    </row>
    <row r="19" spans="1:11" s="13" customFormat="1" ht="24" customHeight="1" x14ac:dyDescent="0.2">
      <c r="A19" s="117" t="s">
        <v>183</v>
      </c>
      <c r="B19" s="15" t="s">
        <v>169</v>
      </c>
      <c r="C19" s="118" t="s">
        <v>82</v>
      </c>
      <c r="D19" s="15"/>
      <c r="E19" s="14"/>
      <c r="F19" s="14"/>
      <c r="G19" s="116"/>
      <c r="H19" s="14"/>
      <c r="I19" s="17"/>
      <c r="J19" s="17"/>
      <c r="K19" s="17"/>
    </row>
    <row r="234" spans="9:9" ht="24" customHeight="1" x14ac:dyDescent="0.2">
      <c r="I234" s="22" t="s">
        <v>64</v>
      </c>
    </row>
    <row r="235" spans="9:9" ht="24" customHeight="1" x14ac:dyDescent="0.2">
      <c r="I235" s="23" t="s">
        <v>62</v>
      </c>
    </row>
    <row r="236" spans="9:9" ht="24" customHeight="1" x14ac:dyDescent="0.2">
      <c r="I236" s="23" t="s">
        <v>8</v>
      </c>
    </row>
    <row r="237" spans="9:9" ht="24" customHeight="1" x14ac:dyDescent="0.2">
      <c r="I237" s="23" t="s">
        <v>11</v>
      </c>
    </row>
    <row r="238" spans="9:9" ht="24" customHeight="1" x14ac:dyDescent="0.2">
      <c r="I238" s="23" t="s">
        <v>14</v>
      </c>
    </row>
    <row r="239" spans="9:9" ht="24" customHeight="1" x14ac:dyDescent="0.2">
      <c r="I239" s="24" t="s">
        <v>17</v>
      </c>
    </row>
    <row r="240" spans="9:9" ht="24" customHeight="1" x14ac:dyDescent="0.2">
      <c r="I240" s="25"/>
    </row>
  </sheetData>
  <mergeCells count="2">
    <mergeCell ref="A3:H3"/>
    <mergeCell ref="I3:K3"/>
  </mergeCells>
  <dataValidations count="2">
    <dataValidation type="list" allowBlank="1" showInputMessage="1" showErrorMessage="1" sqref="I5:K19" xr:uid="{00000000-0002-0000-0100-000000000000}">
      <formula1>$I$235:$I$239</formula1>
    </dataValidation>
    <dataValidation type="list" allowBlank="1" showInputMessage="1" showErrorMessage="1" sqref="C5:C19" xr:uid="{00000000-0002-0000-0100-000001000000}">
      <formula1>"Base de datos,Computadoras fijas,Comunicaciones,Digital,Dispositivos de almacenamiento externo, Dispositivos móviles, Equipos de oficina, Impresos,Otros equipos,Personas, Respaldos,Servicios, Servidores, Sitio web,Software"</formula1>
    </dataValidation>
  </dataValidations>
  <pageMargins left="0.22" right="0.26" top="0.74803149606299213" bottom="0.74803149606299213" header="0.31496062992125984" footer="0.31496062992125984"/>
  <pageSetup orientation="landscape"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65"/>
  <sheetViews>
    <sheetView tabSelected="1" zoomScaleNormal="100" workbookViewId="0">
      <pane xSplit="1" ySplit="1" topLeftCell="B32" activePane="bottomRight" state="frozen"/>
      <selection pane="topRight" activeCell="C1" sqref="C1"/>
      <selection pane="bottomLeft" activeCell="A2" sqref="A2"/>
      <selection pane="bottomRight" activeCell="C32" sqref="C32"/>
    </sheetView>
  </sheetViews>
  <sheetFormatPr baseColWidth="10" defaultRowHeight="15.75" x14ac:dyDescent="0.2"/>
  <cols>
    <col min="1" max="1" width="16.85546875" style="71" customWidth="1"/>
    <col min="2" max="2" width="39.28515625" style="72" customWidth="1"/>
    <col min="3" max="3" width="17.85546875" style="74" customWidth="1"/>
    <col min="4" max="5" width="8.7109375" style="73" customWidth="1"/>
    <col min="6" max="6" width="8.85546875" style="73" bestFit="1" customWidth="1"/>
    <col min="7" max="7" width="12" style="75" customWidth="1"/>
    <col min="8" max="8" width="17" style="74" customWidth="1"/>
    <col min="9" max="9" width="15.28515625" style="75" customWidth="1"/>
    <col min="10" max="10" width="14.85546875" style="76" customWidth="1"/>
    <col min="11" max="11" width="31" style="71" customWidth="1"/>
    <col min="12" max="12" width="12.85546875" style="73" customWidth="1"/>
    <col min="13" max="13" width="16.7109375" style="77" customWidth="1"/>
    <col min="14" max="14" width="11.7109375" style="78" customWidth="1"/>
    <col min="15" max="16" width="21.140625" style="75" customWidth="1"/>
    <col min="17" max="16384" width="11.42578125" style="71"/>
  </cols>
  <sheetData>
    <row r="1" spans="1:16" s="75" customFormat="1" ht="33" customHeight="1" x14ac:dyDescent="0.2">
      <c r="A1" s="86" t="s">
        <v>0</v>
      </c>
      <c r="B1" s="86" t="s">
        <v>125</v>
      </c>
      <c r="C1" s="86" t="s">
        <v>44</v>
      </c>
      <c r="D1" s="87" t="s">
        <v>115</v>
      </c>
      <c r="E1" s="87" t="s">
        <v>116</v>
      </c>
      <c r="F1" s="89" t="s">
        <v>45</v>
      </c>
      <c r="G1" s="88" t="s">
        <v>46</v>
      </c>
      <c r="H1" s="86" t="s">
        <v>108</v>
      </c>
      <c r="I1" s="96" t="s">
        <v>113</v>
      </c>
      <c r="J1" s="90" t="s">
        <v>47</v>
      </c>
      <c r="K1" s="91" t="s">
        <v>48</v>
      </c>
      <c r="L1" s="92" t="s">
        <v>49</v>
      </c>
      <c r="M1" s="92" t="s">
        <v>50</v>
      </c>
      <c r="N1" s="93" t="s">
        <v>51</v>
      </c>
      <c r="O1" s="94" t="s">
        <v>52</v>
      </c>
      <c r="P1" s="95" t="s">
        <v>53</v>
      </c>
    </row>
    <row r="2" spans="1:16" s="64" customFormat="1" ht="76.5" x14ac:dyDescent="0.2">
      <c r="A2" s="99" t="s">
        <v>74</v>
      </c>
      <c r="B2" s="100" t="s">
        <v>126</v>
      </c>
      <c r="C2" s="99" t="s">
        <v>83</v>
      </c>
      <c r="D2" s="58" t="s">
        <v>21</v>
      </c>
      <c r="E2" s="58" t="s">
        <v>22</v>
      </c>
      <c r="F2" s="53" t="str">
        <f t="shared" ref="F2:F33" si="0">IF(AND(D2="Alta",E2="Alta"),"Muy Alta",IF(AND(D2="Alta",E2="Media"),"Alta",IF(AND(D2="Media",E2="Alta"),"Alta",IF(AND(D2="Baja",E2="Alta"),"Media",IF(AND(D2="Alta",E2="Baja"),"Media",IF(AND(D2="Media",E2="Media"),"Media",IF(AND(D2="Baja",E2="Baja"),"Muy Baja","Baja")))))))</f>
        <v>Baja</v>
      </c>
      <c r="G2" s="54" t="s">
        <v>14</v>
      </c>
      <c r="H2" s="99" t="s">
        <v>84</v>
      </c>
      <c r="I2" s="51">
        <f t="shared" ref="I2:I10" si="1">VLOOKUP(G2,matriz_riesgos,IF(F2="Muy Baja",2,IF(F2="Baja",3,IF(F2="Media",4,IF(F2="Alta",5,IF(F2="Muy Alta",6,"N/A"))))),0)</f>
        <v>4</v>
      </c>
      <c r="J2" s="56"/>
      <c r="K2" s="59"/>
      <c r="L2" s="58"/>
      <c r="M2" s="58"/>
      <c r="N2" s="53" t="str">
        <f t="shared" ref="N2:N38" si="2">IF(AND(L2="Alta",M2="Alta"),"Muy Alta",IF(AND(L2="Alta",M2="Media"),"Alta",IF(AND(L2="Media",M2="Alta"),"Alta",IF(AND(L2="Baja",M2="Alta"),"Media",IF(AND(L2="Alta",M2="Baja"),"Media",IF(AND(L2="Media",M2="Media"),"Media",IF(AND(L2="Baja",M2="Baja"),"Muy Baja","Baja")))))))</f>
        <v>Baja</v>
      </c>
      <c r="O2" s="54"/>
      <c r="P2" s="54" t="e">
        <f t="shared" ref="P2:P38" si="3">VLOOKUP(O2,matriz_riesgos,IF(N2="Muy Baja",2,IF(N2="Baja",3,IF(N2="Media",4,IF(N2="Alta",5,IF(N2="Muy Alta",6,"N/A"))))),0)</f>
        <v>#N/A</v>
      </c>
    </row>
    <row r="3" spans="1:16" s="65" customFormat="1" ht="76.5" x14ac:dyDescent="0.2">
      <c r="A3" s="99" t="s">
        <v>74</v>
      </c>
      <c r="B3" s="59" t="s">
        <v>127</v>
      </c>
      <c r="C3" s="99"/>
      <c r="D3" s="58" t="s">
        <v>22</v>
      </c>
      <c r="E3" s="58" t="s">
        <v>23</v>
      </c>
      <c r="F3" s="53" t="str">
        <f t="shared" si="0"/>
        <v>Alta</v>
      </c>
      <c r="G3" s="54" t="s">
        <v>11</v>
      </c>
      <c r="H3" s="99" t="s">
        <v>85</v>
      </c>
      <c r="I3" s="51">
        <f t="shared" si="1"/>
        <v>5</v>
      </c>
      <c r="J3" s="56"/>
      <c r="K3" s="59"/>
      <c r="L3" s="58"/>
      <c r="M3" s="58"/>
      <c r="N3" s="53" t="str">
        <f t="shared" si="2"/>
        <v>Baja</v>
      </c>
      <c r="O3" s="54"/>
      <c r="P3" s="54" t="e">
        <f t="shared" si="3"/>
        <v>#N/A</v>
      </c>
    </row>
    <row r="4" spans="1:16" s="64" customFormat="1" ht="89.25" x14ac:dyDescent="0.2">
      <c r="A4" s="99" t="s">
        <v>74</v>
      </c>
      <c r="B4" s="59" t="s">
        <v>128</v>
      </c>
      <c r="C4" s="99"/>
      <c r="D4" s="58" t="s">
        <v>23</v>
      </c>
      <c r="E4" s="58" t="s">
        <v>23</v>
      </c>
      <c r="F4" s="53" t="str">
        <f t="shared" si="0"/>
        <v>Muy Alta</v>
      </c>
      <c r="G4" s="54" t="s">
        <v>17</v>
      </c>
      <c r="H4" s="99"/>
      <c r="I4" s="51">
        <f t="shared" si="1"/>
        <v>8</v>
      </c>
      <c r="J4" s="56"/>
      <c r="K4" s="106"/>
      <c r="L4" s="58"/>
      <c r="M4" s="58"/>
      <c r="N4" s="53" t="str">
        <f t="shared" si="2"/>
        <v>Baja</v>
      </c>
      <c r="O4" s="54"/>
      <c r="P4" s="54" t="e">
        <f t="shared" si="3"/>
        <v>#N/A</v>
      </c>
    </row>
    <row r="5" spans="1:16" s="66" customFormat="1" ht="51" x14ac:dyDescent="0.2">
      <c r="A5" s="99" t="s">
        <v>168</v>
      </c>
      <c r="B5" s="59" t="s">
        <v>129</v>
      </c>
      <c r="C5" s="99"/>
      <c r="D5" s="58"/>
      <c r="E5" s="58"/>
      <c r="F5" s="53" t="str">
        <f t="shared" si="0"/>
        <v>Baja</v>
      </c>
      <c r="G5" s="54" t="s">
        <v>8</v>
      </c>
      <c r="H5" s="99"/>
      <c r="I5" s="52">
        <f t="shared" si="1"/>
        <v>2</v>
      </c>
      <c r="J5" s="56"/>
      <c r="K5" s="57"/>
      <c r="L5" s="58"/>
      <c r="M5" s="58"/>
      <c r="N5" s="53" t="str">
        <f t="shared" si="2"/>
        <v>Baja</v>
      </c>
      <c r="O5" s="54"/>
      <c r="P5" s="54" t="e">
        <f t="shared" si="3"/>
        <v>#N/A</v>
      </c>
    </row>
    <row r="6" spans="1:16" s="66" customFormat="1" ht="25.5" x14ac:dyDescent="0.2">
      <c r="A6" s="99" t="s">
        <v>168</v>
      </c>
      <c r="B6" s="59" t="s">
        <v>130</v>
      </c>
      <c r="C6" s="99"/>
      <c r="D6" s="58"/>
      <c r="E6" s="58"/>
      <c r="F6" s="53" t="str">
        <f t="shared" si="0"/>
        <v>Baja</v>
      </c>
      <c r="G6" s="54" t="s">
        <v>8</v>
      </c>
      <c r="H6" s="99"/>
      <c r="I6" s="52">
        <f t="shared" si="1"/>
        <v>2</v>
      </c>
      <c r="J6" s="56"/>
      <c r="K6" s="57"/>
      <c r="L6" s="58"/>
      <c r="M6" s="58"/>
      <c r="N6" s="53" t="str">
        <f t="shared" si="2"/>
        <v>Baja</v>
      </c>
      <c r="O6" s="54"/>
      <c r="P6" s="54" t="e">
        <f t="shared" si="3"/>
        <v>#N/A</v>
      </c>
    </row>
    <row r="7" spans="1:16" s="66" customFormat="1" ht="89.25" x14ac:dyDescent="0.2">
      <c r="A7" s="99" t="s">
        <v>168</v>
      </c>
      <c r="B7" s="59" t="s">
        <v>131</v>
      </c>
      <c r="C7" s="99"/>
      <c r="D7" s="58"/>
      <c r="E7" s="58"/>
      <c r="F7" s="53" t="str">
        <f t="shared" si="0"/>
        <v>Baja</v>
      </c>
      <c r="G7" s="54" t="s">
        <v>8</v>
      </c>
      <c r="H7" s="99"/>
      <c r="I7" s="52">
        <f t="shared" si="1"/>
        <v>2</v>
      </c>
      <c r="J7" s="56"/>
      <c r="K7" s="57"/>
      <c r="L7" s="58"/>
      <c r="M7" s="58"/>
      <c r="N7" s="53" t="str">
        <f t="shared" si="2"/>
        <v>Baja</v>
      </c>
      <c r="O7" s="54"/>
      <c r="P7" s="54" t="e">
        <f t="shared" si="3"/>
        <v>#N/A</v>
      </c>
    </row>
    <row r="8" spans="1:16" s="66" customFormat="1" ht="51" x14ac:dyDescent="0.2">
      <c r="A8" s="99" t="s">
        <v>168</v>
      </c>
      <c r="B8" s="59" t="s">
        <v>132</v>
      </c>
      <c r="C8" s="99"/>
      <c r="D8" s="58"/>
      <c r="E8" s="58"/>
      <c r="F8" s="53" t="str">
        <f t="shared" si="0"/>
        <v>Baja</v>
      </c>
      <c r="G8" s="54" t="s">
        <v>8</v>
      </c>
      <c r="H8" s="99"/>
      <c r="I8" s="52">
        <f t="shared" si="1"/>
        <v>2</v>
      </c>
      <c r="J8" s="56"/>
      <c r="K8" s="57"/>
      <c r="L8" s="58"/>
      <c r="M8" s="58"/>
      <c r="N8" s="53" t="str">
        <f t="shared" si="2"/>
        <v>Baja</v>
      </c>
      <c r="O8" s="54"/>
      <c r="P8" s="54" t="e">
        <f t="shared" si="3"/>
        <v>#N/A</v>
      </c>
    </row>
    <row r="9" spans="1:16" s="64" customFormat="1" ht="12.75" x14ac:dyDescent="0.2">
      <c r="A9" s="99" t="s">
        <v>75</v>
      </c>
      <c r="B9" s="59" t="s">
        <v>133</v>
      </c>
      <c r="C9" s="99"/>
      <c r="D9" s="58"/>
      <c r="E9" s="58"/>
      <c r="F9" s="53" t="str">
        <f t="shared" si="0"/>
        <v>Baja</v>
      </c>
      <c r="G9" s="54" t="s">
        <v>8</v>
      </c>
      <c r="H9" s="99"/>
      <c r="I9" s="51">
        <f t="shared" si="1"/>
        <v>2</v>
      </c>
      <c r="J9" s="56"/>
      <c r="K9" s="106"/>
      <c r="L9" s="58"/>
      <c r="M9" s="58"/>
      <c r="N9" s="53" t="str">
        <f t="shared" si="2"/>
        <v>Baja</v>
      </c>
      <c r="O9" s="54"/>
      <c r="P9" s="54" t="e">
        <f t="shared" si="3"/>
        <v>#N/A</v>
      </c>
    </row>
    <row r="10" spans="1:16" s="64" customFormat="1" ht="102" x14ac:dyDescent="0.2">
      <c r="A10" s="99" t="s">
        <v>75</v>
      </c>
      <c r="B10" s="59" t="s">
        <v>134</v>
      </c>
      <c r="C10" s="99"/>
      <c r="D10" s="58"/>
      <c r="E10" s="58"/>
      <c r="F10" s="53" t="str">
        <f t="shared" si="0"/>
        <v>Baja</v>
      </c>
      <c r="G10" s="54" t="s">
        <v>8</v>
      </c>
      <c r="H10" s="99"/>
      <c r="I10" s="51">
        <f t="shared" si="1"/>
        <v>2</v>
      </c>
      <c r="J10" s="56"/>
      <c r="K10" s="106"/>
      <c r="L10" s="58"/>
      <c r="M10" s="58"/>
      <c r="N10" s="53" t="str">
        <f t="shared" si="2"/>
        <v>Baja</v>
      </c>
      <c r="O10" s="54"/>
      <c r="P10" s="54" t="e">
        <f t="shared" si="3"/>
        <v>#N/A</v>
      </c>
    </row>
    <row r="11" spans="1:16" s="64" customFormat="1" ht="12.75" x14ac:dyDescent="0.2">
      <c r="A11" s="99" t="s">
        <v>75</v>
      </c>
      <c r="B11" s="101" t="s">
        <v>117</v>
      </c>
      <c r="C11" s="99"/>
      <c r="D11" s="58"/>
      <c r="E11" s="58"/>
      <c r="F11" s="53" t="str">
        <f t="shared" si="0"/>
        <v>Baja</v>
      </c>
      <c r="G11" s="54" t="s">
        <v>8</v>
      </c>
      <c r="H11" s="99"/>
      <c r="I11" s="51"/>
      <c r="J11" s="56"/>
      <c r="K11" s="106"/>
      <c r="L11" s="58"/>
      <c r="M11" s="58"/>
      <c r="N11" s="53"/>
      <c r="O11" s="54"/>
      <c r="P11" s="54"/>
    </row>
    <row r="12" spans="1:16" s="64" customFormat="1" ht="12.75" x14ac:dyDescent="0.2">
      <c r="A12" s="99" t="s">
        <v>75</v>
      </c>
      <c r="B12" s="101" t="s">
        <v>118</v>
      </c>
      <c r="C12" s="99"/>
      <c r="D12" s="58"/>
      <c r="E12" s="58"/>
      <c r="F12" s="53" t="str">
        <f t="shared" si="0"/>
        <v>Baja</v>
      </c>
      <c r="G12" s="54" t="s">
        <v>8</v>
      </c>
      <c r="H12" s="99"/>
      <c r="I12" s="51"/>
      <c r="J12" s="56"/>
      <c r="K12" s="106"/>
      <c r="L12" s="58"/>
      <c r="M12" s="58"/>
      <c r="N12" s="53"/>
      <c r="O12" s="54"/>
      <c r="P12" s="54"/>
    </row>
    <row r="13" spans="1:16" s="67" customFormat="1" ht="76.5" x14ac:dyDescent="0.2">
      <c r="A13" s="99" t="s">
        <v>76</v>
      </c>
      <c r="B13" s="59" t="s">
        <v>135</v>
      </c>
      <c r="C13" s="99"/>
      <c r="D13" s="58"/>
      <c r="E13" s="58"/>
      <c r="F13" s="53" t="str">
        <f t="shared" si="0"/>
        <v>Baja</v>
      </c>
      <c r="G13" s="54" t="s">
        <v>8</v>
      </c>
      <c r="H13" s="99"/>
      <c r="I13" s="55">
        <f>VLOOKUP(G13,matriz_riesgos,IF(F13="Muy Baja",2,IF(F13="Baja",3,IF(F13="Media",4,IF(F13="Alta",5,IF(F13="Muy Alta",6,"N/A"))))),0)</f>
        <v>2</v>
      </c>
      <c r="J13" s="56"/>
      <c r="K13" s="57"/>
      <c r="L13" s="58"/>
      <c r="M13" s="58"/>
      <c r="N13" s="53" t="str">
        <f t="shared" si="2"/>
        <v>Baja</v>
      </c>
      <c r="O13" s="54"/>
      <c r="P13" s="54" t="e">
        <f t="shared" si="3"/>
        <v>#N/A</v>
      </c>
    </row>
    <row r="14" spans="1:16" s="67" customFormat="1" ht="89.25" x14ac:dyDescent="0.2">
      <c r="A14" s="99" t="s">
        <v>76</v>
      </c>
      <c r="B14" s="59" t="s">
        <v>136</v>
      </c>
      <c r="C14" s="99"/>
      <c r="D14" s="58"/>
      <c r="E14" s="58"/>
      <c r="F14" s="53" t="str">
        <f t="shared" si="0"/>
        <v>Baja</v>
      </c>
      <c r="G14" s="54" t="s">
        <v>8</v>
      </c>
      <c r="H14" s="99"/>
      <c r="I14" s="55">
        <f>VLOOKUP(G14,matriz_riesgos,IF(F14="Muy Baja",2,IF(F14="Baja",3,IF(F14="Media",4,IF(F14="Alta",5,IF(F14="Muy Alta",6,"N/A"))))),0)</f>
        <v>2</v>
      </c>
      <c r="J14" s="56"/>
      <c r="K14" s="57"/>
      <c r="L14" s="58"/>
      <c r="M14" s="58"/>
      <c r="N14" s="53" t="str">
        <f t="shared" si="2"/>
        <v>Baja</v>
      </c>
      <c r="O14" s="54"/>
      <c r="P14" s="54" t="e">
        <f t="shared" si="3"/>
        <v>#N/A</v>
      </c>
    </row>
    <row r="15" spans="1:16" s="67" customFormat="1" ht="12.75" x14ac:dyDescent="0.2">
      <c r="A15" s="99" t="s">
        <v>76</v>
      </c>
      <c r="B15" s="101" t="s">
        <v>117</v>
      </c>
      <c r="C15" s="99"/>
      <c r="D15" s="58"/>
      <c r="E15" s="58"/>
      <c r="F15" s="53" t="str">
        <f t="shared" si="0"/>
        <v>Baja</v>
      </c>
      <c r="G15" s="54" t="s">
        <v>8</v>
      </c>
      <c r="H15" s="99"/>
      <c r="I15" s="55"/>
      <c r="J15" s="56"/>
      <c r="K15" s="57"/>
      <c r="L15" s="58"/>
      <c r="M15" s="58"/>
      <c r="N15" s="53"/>
      <c r="O15" s="54"/>
      <c r="P15" s="54"/>
    </row>
    <row r="16" spans="1:16" s="68" customFormat="1" ht="51" x14ac:dyDescent="0.2">
      <c r="A16" s="59" t="s">
        <v>110</v>
      </c>
      <c r="B16" s="59" t="s">
        <v>129</v>
      </c>
      <c r="C16" s="99"/>
      <c r="D16" s="58"/>
      <c r="E16" s="58"/>
      <c r="F16" s="53" t="str">
        <f t="shared" si="0"/>
        <v>Baja</v>
      </c>
      <c r="G16" s="54" t="s">
        <v>8</v>
      </c>
      <c r="H16" s="99"/>
      <c r="I16" s="51">
        <f t="shared" ref="I16:I32" si="4">VLOOKUP(G16,matriz_riesgos,IF(F16="Muy Baja",2,IF(F16="Baja",3,IF(F16="Media",4,IF(F16="Alta",5,IF(F16="Muy Alta",6,"N/A"))))),0)</f>
        <v>2</v>
      </c>
      <c r="J16" s="56"/>
      <c r="K16" s="57"/>
      <c r="L16" s="58"/>
      <c r="M16" s="58"/>
      <c r="N16" s="53" t="str">
        <f t="shared" si="2"/>
        <v>Baja</v>
      </c>
      <c r="O16" s="54"/>
      <c r="P16" s="54" t="e">
        <f t="shared" si="3"/>
        <v>#N/A</v>
      </c>
    </row>
    <row r="17" spans="1:16" s="68" customFormat="1" ht="25.5" x14ac:dyDescent="0.2">
      <c r="A17" s="103" t="s">
        <v>111</v>
      </c>
      <c r="B17" s="54"/>
      <c r="C17" s="99"/>
      <c r="D17" s="58"/>
      <c r="E17" s="58"/>
      <c r="F17" s="53" t="str">
        <f t="shared" si="0"/>
        <v>Baja</v>
      </c>
      <c r="G17" s="54" t="s">
        <v>8</v>
      </c>
      <c r="H17" s="99"/>
      <c r="I17" s="51">
        <f t="shared" si="4"/>
        <v>2</v>
      </c>
      <c r="J17" s="56"/>
      <c r="K17" s="57"/>
      <c r="L17" s="58"/>
      <c r="M17" s="58"/>
      <c r="N17" s="53" t="str">
        <f t="shared" si="2"/>
        <v>Baja</v>
      </c>
      <c r="O17" s="54"/>
      <c r="P17" s="54" t="e">
        <f t="shared" si="3"/>
        <v>#N/A</v>
      </c>
    </row>
    <row r="18" spans="1:16" s="68" customFormat="1" ht="25.5" x14ac:dyDescent="0.2">
      <c r="A18" s="99" t="s">
        <v>77</v>
      </c>
      <c r="B18" s="59" t="s">
        <v>137</v>
      </c>
      <c r="C18" s="99"/>
      <c r="D18" s="58"/>
      <c r="E18" s="58"/>
      <c r="F18" s="53" t="str">
        <f t="shared" si="0"/>
        <v>Baja</v>
      </c>
      <c r="G18" s="54" t="s">
        <v>8</v>
      </c>
      <c r="H18" s="99"/>
      <c r="I18" s="51">
        <f t="shared" si="4"/>
        <v>2</v>
      </c>
      <c r="J18" s="56"/>
      <c r="K18" s="57"/>
      <c r="L18" s="58"/>
      <c r="M18" s="58"/>
      <c r="N18" s="53" t="str">
        <f t="shared" si="2"/>
        <v>Baja</v>
      </c>
      <c r="O18" s="54"/>
      <c r="P18" s="54" t="e">
        <f t="shared" si="3"/>
        <v>#N/A</v>
      </c>
    </row>
    <row r="19" spans="1:16" s="68" customFormat="1" ht="38.25" x14ac:dyDescent="0.2">
      <c r="A19" s="99" t="s">
        <v>77</v>
      </c>
      <c r="B19" s="59" t="s">
        <v>138</v>
      </c>
      <c r="C19" s="99"/>
      <c r="D19" s="58"/>
      <c r="E19" s="58"/>
      <c r="F19" s="53" t="str">
        <f t="shared" si="0"/>
        <v>Baja</v>
      </c>
      <c r="G19" s="54" t="s">
        <v>8</v>
      </c>
      <c r="H19" s="99"/>
      <c r="I19" s="51">
        <f t="shared" si="4"/>
        <v>2</v>
      </c>
      <c r="J19" s="56"/>
      <c r="K19" s="57"/>
      <c r="L19" s="58"/>
      <c r="M19" s="58"/>
      <c r="N19" s="53" t="str">
        <f t="shared" si="2"/>
        <v>Baja</v>
      </c>
      <c r="O19" s="54"/>
      <c r="P19" s="54" t="e">
        <f t="shared" si="3"/>
        <v>#N/A</v>
      </c>
    </row>
    <row r="20" spans="1:16" s="67" customFormat="1" ht="89.25" x14ac:dyDescent="0.2">
      <c r="A20" s="99" t="s">
        <v>77</v>
      </c>
      <c r="B20" s="59" t="s">
        <v>139</v>
      </c>
      <c r="C20" s="99"/>
      <c r="D20" s="58"/>
      <c r="E20" s="58"/>
      <c r="F20" s="53" t="str">
        <f t="shared" si="0"/>
        <v>Baja</v>
      </c>
      <c r="G20" s="54" t="s">
        <v>8</v>
      </c>
      <c r="H20" s="99"/>
      <c r="I20" s="55">
        <f t="shared" si="4"/>
        <v>2</v>
      </c>
      <c r="J20" s="56"/>
      <c r="K20" s="57"/>
      <c r="L20" s="58"/>
      <c r="M20" s="58"/>
      <c r="N20" s="53" t="str">
        <f t="shared" si="2"/>
        <v>Baja</v>
      </c>
      <c r="O20" s="54"/>
      <c r="P20" s="54" t="e">
        <f t="shared" si="3"/>
        <v>#N/A</v>
      </c>
    </row>
    <row r="21" spans="1:16" s="67" customFormat="1" ht="51" x14ac:dyDescent="0.2">
      <c r="A21" s="99" t="s">
        <v>77</v>
      </c>
      <c r="B21" s="59" t="s">
        <v>132</v>
      </c>
      <c r="C21" s="99"/>
      <c r="D21" s="58"/>
      <c r="E21" s="58"/>
      <c r="F21" s="53" t="str">
        <f t="shared" si="0"/>
        <v>Baja</v>
      </c>
      <c r="G21" s="54" t="s">
        <v>8</v>
      </c>
      <c r="H21" s="99"/>
      <c r="I21" s="55">
        <f t="shared" si="4"/>
        <v>2</v>
      </c>
      <c r="J21" s="56"/>
      <c r="K21" s="57"/>
      <c r="L21" s="58"/>
      <c r="M21" s="58"/>
      <c r="N21" s="53" t="str">
        <f t="shared" si="2"/>
        <v>Baja</v>
      </c>
      <c r="O21" s="54"/>
      <c r="P21" s="54" t="e">
        <f t="shared" si="3"/>
        <v>#N/A</v>
      </c>
    </row>
    <row r="22" spans="1:16" s="67" customFormat="1" ht="76.5" x14ac:dyDescent="0.2">
      <c r="A22" s="99" t="s">
        <v>78</v>
      </c>
      <c r="B22" s="59" t="s">
        <v>127</v>
      </c>
      <c r="C22" s="99"/>
      <c r="D22" s="58"/>
      <c r="E22" s="58"/>
      <c r="F22" s="53" t="str">
        <f t="shared" si="0"/>
        <v>Baja</v>
      </c>
      <c r="G22" s="54" t="s">
        <v>8</v>
      </c>
      <c r="H22" s="99"/>
      <c r="I22" s="55">
        <f t="shared" si="4"/>
        <v>2</v>
      </c>
      <c r="J22" s="56"/>
      <c r="K22" s="57"/>
      <c r="L22" s="58"/>
      <c r="M22" s="58"/>
      <c r="N22" s="53" t="str">
        <f t="shared" si="2"/>
        <v>Baja</v>
      </c>
      <c r="O22" s="54"/>
      <c r="P22" s="54" t="e">
        <f t="shared" si="3"/>
        <v>#N/A</v>
      </c>
    </row>
    <row r="23" spans="1:16" s="64" customFormat="1" ht="12.75" x14ac:dyDescent="0.2">
      <c r="A23" s="99" t="s">
        <v>78</v>
      </c>
      <c r="B23" s="101" t="s">
        <v>119</v>
      </c>
      <c r="C23" s="99"/>
      <c r="D23" s="58"/>
      <c r="E23" s="58"/>
      <c r="F23" s="53" t="str">
        <f t="shared" si="0"/>
        <v>Baja</v>
      </c>
      <c r="G23" s="54" t="s">
        <v>8</v>
      </c>
      <c r="H23" s="99"/>
      <c r="I23" s="51">
        <f t="shared" si="4"/>
        <v>2</v>
      </c>
      <c r="J23" s="56"/>
      <c r="K23" s="106"/>
      <c r="L23" s="58"/>
      <c r="M23" s="58"/>
      <c r="N23" s="53" t="str">
        <f t="shared" si="2"/>
        <v>Baja</v>
      </c>
      <c r="O23" s="54"/>
      <c r="P23" s="54" t="e">
        <f t="shared" si="3"/>
        <v>#N/A</v>
      </c>
    </row>
    <row r="24" spans="1:16" s="64" customFormat="1" ht="89.25" x14ac:dyDescent="0.2">
      <c r="A24" s="99" t="s">
        <v>78</v>
      </c>
      <c r="B24" s="59" t="s">
        <v>136</v>
      </c>
      <c r="C24" s="99"/>
      <c r="D24" s="58"/>
      <c r="E24" s="58"/>
      <c r="F24" s="53" t="str">
        <f t="shared" si="0"/>
        <v>Baja</v>
      </c>
      <c r="G24" s="54" t="s">
        <v>8</v>
      </c>
      <c r="H24" s="99"/>
      <c r="I24" s="51">
        <f t="shared" si="4"/>
        <v>2</v>
      </c>
      <c r="J24" s="56"/>
      <c r="K24" s="106"/>
      <c r="L24" s="58"/>
      <c r="M24" s="58"/>
      <c r="N24" s="53" t="str">
        <f t="shared" si="2"/>
        <v>Baja</v>
      </c>
      <c r="O24" s="54"/>
      <c r="P24" s="54" t="e">
        <f t="shared" si="3"/>
        <v>#N/A</v>
      </c>
    </row>
    <row r="25" spans="1:16" s="65" customFormat="1" ht="89.25" x14ac:dyDescent="0.2">
      <c r="A25" s="59" t="s">
        <v>63</v>
      </c>
      <c r="B25" s="59" t="s">
        <v>140</v>
      </c>
      <c r="C25" s="99"/>
      <c r="D25" s="58"/>
      <c r="E25" s="58"/>
      <c r="F25" s="53" t="str">
        <f t="shared" si="0"/>
        <v>Baja</v>
      </c>
      <c r="G25" s="54" t="s">
        <v>8</v>
      </c>
      <c r="H25" s="99"/>
      <c r="I25" s="51">
        <f t="shared" si="4"/>
        <v>2</v>
      </c>
      <c r="J25" s="56"/>
      <c r="K25" s="106"/>
      <c r="L25" s="58"/>
      <c r="M25" s="58"/>
      <c r="N25" s="53" t="str">
        <f t="shared" si="2"/>
        <v>Baja</v>
      </c>
      <c r="O25" s="54"/>
      <c r="P25" s="54" t="e">
        <f t="shared" si="3"/>
        <v>#N/A</v>
      </c>
    </row>
    <row r="26" spans="1:16" s="65" customFormat="1" ht="51" x14ac:dyDescent="0.2">
      <c r="A26" s="59" t="s">
        <v>63</v>
      </c>
      <c r="B26" s="59" t="s">
        <v>141</v>
      </c>
      <c r="C26" s="99"/>
      <c r="D26" s="58"/>
      <c r="E26" s="58"/>
      <c r="F26" s="53" t="str">
        <f t="shared" si="0"/>
        <v>Baja</v>
      </c>
      <c r="G26" s="54" t="s">
        <v>8</v>
      </c>
      <c r="H26" s="99"/>
      <c r="I26" s="51">
        <f t="shared" si="4"/>
        <v>2</v>
      </c>
      <c r="J26" s="56"/>
      <c r="K26" s="106"/>
      <c r="L26" s="58"/>
      <c r="M26" s="58"/>
      <c r="N26" s="53" t="str">
        <f t="shared" si="2"/>
        <v>Baja</v>
      </c>
      <c r="O26" s="54"/>
      <c r="P26" s="54" t="e">
        <f t="shared" si="3"/>
        <v>#N/A</v>
      </c>
    </row>
    <row r="27" spans="1:16" s="67" customFormat="1" ht="51" x14ac:dyDescent="0.2">
      <c r="A27" s="59" t="s">
        <v>63</v>
      </c>
      <c r="B27" s="59" t="s">
        <v>132</v>
      </c>
      <c r="C27" s="99"/>
      <c r="D27" s="58"/>
      <c r="E27" s="58"/>
      <c r="F27" s="53" t="str">
        <f t="shared" si="0"/>
        <v>Baja</v>
      </c>
      <c r="G27" s="54" t="s">
        <v>8</v>
      </c>
      <c r="H27" s="99"/>
      <c r="I27" s="55">
        <f t="shared" si="4"/>
        <v>2</v>
      </c>
      <c r="J27" s="56"/>
      <c r="K27" s="57"/>
      <c r="L27" s="58"/>
      <c r="M27" s="58"/>
      <c r="N27" s="53" t="str">
        <f t="shared" si="2"/>
        <v>Baja</v>
      </c>
      <c r="O27" s="54"/>
      <c r="P27" s="54" t="e">
        <f t="shared" si="3"/>
        <v>#N/A</v>
      </c>
    </row>
    <row r="28" spans="1:16" s="67" customFormat="1" ht="102" x14ac:dyDescent="0.2">
      <c r="A28" s="99" t="s">
        <v>79</v>
      </c>
      <c r="B28" s="59" t="s">
        <v>142</v>
      </c>
      <c r="C28" s="99"/>
      <c r="D28" s="58"/>
      <c r="E28" s="58"/>
      <c r="F28" s="53" t="str">
        <f t="shared" si="0"/>
        <v>Baja</v>
      </c>
      <c r="G28" s="54" t="s">
        <v>8</v>
      </c>
      <c r="H28" s="99"/>
      <c r="I28" s="55">
        <f t="shared" si="4"/>
        <v>2</v>
      </c>
      <c r="J28" s="56"/>
      <c r="K28" s="62"/>
      <c r="L28" s="58"/>
      <c r="M28" s="58"/>
      <c r="N28" s="61" t="str">
        <f t="shared" si="2"/>
        <v>Baja</v>
      </c>
      <c r="O28" s="54"/>
      <c r="P28" s="54" t="e">
        <f t="shared" si="3"/>
        <v>#N/A</v>
      </c>
    </row>
    <row r="29" spans="1:16" s="67" customFormat="1" ht="89.25" x14ac:dyDescent="0.2">
      <c r="A29" s="99" t="s">
        <v>79</v>
      </c>
      <c r="B29" s="59" t="s">
        <v>140</v>
      </c>
      <c r="C29" s="99"/>
      <c r="D29" s="58"/>
      <c r="E29" s="58"/>
      <c r="F29" s="53" t="str">
        <f t="shared" si="0"/>
        <v>Baja</v>
      </c>
      <c r="G29" s="54" t="s">
        <v>8</v>
      </c>
      <c r="H29" s="99"/>
      <c r="I29" s="55">
        <f t="shared" si="4"/>
        <v>2</v>
      </c>
      <c r="J29" s="56"/>
      <c r="K29" s="62"/>
      <c r="L29" s="58"/>
      <c r="M29" s="58"/>
      <c r="N29" s="61" t="str">
        <f t="shared" si="2"/>
        <v>Baja</v>
      </c>
      <c r="O29" s="54"/>
      <c r="P29" s="54" t="e">
        <f t="shared" si="3"/>
        <v>#N/A</v>
      </c>
    </row>
    <row r="30" spans="1:16" s="67" customFormat="1" ht="63.75" x14ac:dyDescent="0.2">
      <c r="A30" s="99" t="s">
        <v>79</v>
      </c>
      <c r="B30" s="59" t="s">
        <v>143</v>
      </c>
      <c r="C30" s="99"/>
      <c r="D30" s="58"/>
      <c r="E30" s="58"/>
      <c r="F30" s="53" t="str">
        <f t="shared" si="0"/>
        <v>Baja</v>
      </c>
      <c r="G30" s="54" t="s">
        <v>8</v>
      </c>
      <c r="H30" s="99"/>
      <c r="I30" s="55">
        <f t="shared" si="4"/>
        <v>2</v>
      </c>
      <c r="J30" s="56"/>
      <c r="K30" s="62"/>
      <c r="L30" s="58"/>
      <c r="M30" s="58"/>
      <c r="N30" s="61" t="str">
        <f t="shared" si="2"/>
        <v>Baja</v>
      </c>
      <c r="O30" s="54"/>
      <c r="P30" s="54" t="e">
        <f t="shared" si="3"/>
        <v>#N/A</v>
      </c>
    </row>
    <row r="31" spans="1:16" s="67" customFormat="1" ht="51" x14ac:dyDescent="0.2">
      <c r="A31" s="99" t="s">
        <v>79</v>
      </c>
      <c r="B31" s="59" t="s">
        <v>144</v>
      </c>
      <c r="C31" s="99"/>
      <c r="D31" s="58"/>
      <c r="E31" s="58"/>
      <c r="F31" s="53" t="str">
        <f t="shared" si="0"/>
        <v>Baja</v>
      </c>
      <c r="G31" s="54" t="s">
        <v>8</v>
      </c>
      <c r="H31" s="99"/>
      <c r="I31" s="55">
        <f t="shared" si="4"/>
        <v>2</v>
      </c>
      <c r="J31" s="56"/>
      <c r="K31" s="62"/>
      <c r="L31" s="58"/>
      <c r="M31" s="58"/>
      <c r="N31" s="61" t="str">
        <f t="shared" si="2"/>
        <v>Baja</v>
      </c>
      <c r="O31" s="54"/>
      <c r="P31" s="54" t="e">
        <f t="shared" si="3"/>
        <v>#N/A</v>
      </c>
    </row>
    <row r="32" spans="1:16" s="67" customFormat="1" ht="76.5" x14ac:dyDescent="0.2">
      <c r="A32" s="99" t="s">
        <v>79</v>
      </c>
      <c r="B32" s="59" t="s">
        <v>127</v>
      </c>
      <c r="C32" s="99"/>
      <c r="D32" s="58"/>
      <c r="E32" s="58"/>
      <c r="F32" s="53" t="str">
        <f t="shared" si="0"/>
        <v>Baja</v>
      </c>
      <c r="G32" s="54" t="s">
        <v>8</v>
      </c>
      <c r="H32" s="115"/>
      <c r="I32" s="55">
        <f t="shared" si="4"/>
        <v>2</v>
      </c>
      <c r="J32" s="56"/>
      <c r="K32" s="62"/>
      <c r="L32" s="58"/>
      <c r="M32" s="58"/>
      <c r="N32" s="61" t="str">
        <f t="shared" si="2"/>
        <v>Baja</v>
      </c>
      <c r="O32" s="54"/>
      <c r="P32" s="54" t="e">
        <f t="shared" si="3"/>
        <v>#N/A</v>
      </c>
    </row>
    <row r="33" spans="1:16" s="67" customFormat="1" ht="127.5" x14ac:dyDescent="0.2">
      <c r="A33" s="99" t="s">
        <v>79</v>
      </c>
      <c r="B33" s="59" t="s">
        <v>145</v>
      </c>
      <c r="C33" s="59" t="s">
        <v>146</v>
      </c>
      <c r="D33" s="58"/>
      <c r="E33" s="58"/>
      <c r="F33" s="53" t="str">
        <f t="shared" si="0"/>
        <v>Baja</v>
      </c>
      <c r="G33" s="54" t="s">
        <v>8</v>
      </c>
      <c r="H33" s="99"/>
      <c r="I33" s="55"/>
      <c r="J33" s="56"/>
      <c r="K33" s="62"/>
      <c r="L33" s="58"/>
      <c r="M33" s="58"/>
      <c r="N33" s="61"/>
      <c r="O33" s="54"/>
      <c r="P33" s="54"/>
    </row>
    <row r="34" spans="1:16" s="68" customFormat="1" ht="191.25" x14ac:dyDescent="0.2">
      <c r="A34" s="99" t="s">
        <v>79</v>
      </c>
      <c r="B34" s="119"/>
      <c r="C34" s="59" t="s">
        <v>147</v>
      </c>
      <c r="D34" s="58"/>
      <c r="E34" s="58"/>
      <c r="F34" s="53" t="str">
        <f t="shared" ref="F34:F64" si="5">IF(AND(D34="Alta",E34="Alta"),"Muy Alta",IF(AND(D34="Alta",E34="Media"),"Alta",IF(AND(D34="Media",E34="Alta"),"Alta",IF(AND(D34="Baja",E34="Alta"),"Media",IF(AND(D34="Alta",E34="Baja"),"Media",IF(AND(D34="Media",E34="Media"),"Media",IF(AND(D34="Baja",E34="Baja"),"Muy Baja","Baja")))))))</f>
        <v>Baja</v>
      </c>
      <c r="G34" s="54" t="s">
        <v>8</v>
      </c>
      <c r="H34" s="99"/>
      <c r="I34" s="51">
        <f>VLOOKUP(G34,matriz_riesgos,IF(F34="Muy Baja",2,IF(F34="Baja",3,IF(F34="Media",4,IF(F34="Alta",5,IF(F34="Muy Alta",6,"N/A"))))),0)</f>
        <v>2</v>
      </c>
      <c r="J34" s="56"/>
      <c r="K34" s="62"/>
      <c r="L34" s="58"/>
      <c r="M34" s="58"/>
      <c r="N34" s="61" t="str">
        <f t="shared" si="2"/>
        <v>Baja</v>
      </c>
      <c r="O34" s="54"/>
      <c r="P34" s="54" t="e">
        <f t="shared" si="3"/>
        <v>#N/A</v>
      </c>
    </row>
    <row r="35" spans="1:16" s="68" customFormat="1" ht="12.75" x14ac:dyDescent="0.2">
      <c r="A35" s="103" t="s">
        <v>112</v>
      </c>
      <c r="B35" s="54"/>
      <c r="C35" s="99"/>
      <c r="D35" s="58"/>
      <c r="E35" s="58"/>
      <c r="F35" s="53" t="str">
        <f t="shared" si="5"/>
        <v>Baja</v>
      </c>
      <c r="G35" s="54" t="s">
        <v>8</v>
      </c>
      <c r="H35" s="99"/>
      <c r="I35" s="51"/>
      <c r="J35" s="56"/>
      <c r="K35" s="62"/>
      <c r="L35" s="58"/>
      <c r="M35" s="58"/>
      <c r="N35" s="61"/>
      <c r="O35" s="54"/>
      <c r="P35" s="54"/>
    </row>
    <row r="36" spans="1:16" s="69" customFormat="1" ht="51" x14ac:dyDescent="0.2">
      <c r="A36" s="99" t="s">
        <v>80</v>
      </c>
      <c r="B36" s="59" t="s">
        <v>148</v>
      </c>
      <c r="C36" s="99"/>
      <c r="D36" s="58"/>
      <c r="E36" s="58"/>
      <c r="F36" s="53" t="str">
        <f t="shared" si="5"/>
        <v>Baja</v>
      </c>
      <c r="G36" s="54" t="s">
        <v>8</v>
      </c>
      <c r="H36" s="99"/>
      <c r="I36" s="55">
        <f t="shared" ref="I36:I65" si="6">VLOOKUP(G36,matriz_riesgos,IF(F36="Muy Baja",2,IF(F36="Baja",3,IF(F36="Media",4,IF(F36="Alta",5,IF(F36="Muy Alta",6,"N/A"))))),0)</f>
        <v>2</v>
      </c>
      <c r="J36" s="56"/>
      <c r="K36" s="63"/>
      <c r="L36" s="58"/>
      <c r="M36" s="58"/>
      <c r="N36" s="61" t="str">
        <f t="shared" si="2"/>
        <v>Baja</v>
      </c>
      <c r="O36" s="54"/>
      <c r="P36" s="54" t="e">
        <f t="shared" si="3"/>
        <v>#N/A</v>
      </c>
    </row>
    <row r="37" spans="1:16" s="69" customFormat="1" ht="25.5" x14ac:dyDescent="0.2">
      <c r="A37" s="99" t="s">
        <v>80</v>
      </c>
      <c r="B37" s="101" t="s">
        <v>120</v>
      </c>
      <c r="C37" s="99"/>
      <c r="D37" s="58"/>
      <c r="E37" s="58"/>
      <c r="F37" s="53" t="str">
        <f t="shared" si="5"/>
        <v>Baja</v>
      </c>
      <c r="G37" s="54" t="s">
        <v>8</v>
      </c>
      <c r="H37" s="99"/>
      <c r="I37" s="55">
        <f t="shared" si="6"/>
        <v>2</v>
      </c>
      <c r="J37" s="56"/>
      <c r="K37" s="63"/>
      <c r="L37" s="58"/>
      <c r="M37" s="58"/>
      <c r="N37" s="61" t="str">
        <f t="shared" si="2"/>
        <v>Baja</v>
      </c>
      <c r="O37" s="54"/>
      <c r="P37" s="54" t="e">
        <f t="shared" si="3"/>
        <v>#N/A</v>
      </c>
    </row>
    <row r="38" spans="1:16" s="69" customFormat="1" ht="63.75" x14ac:dyDescent="0.2">
      <c r="A38" s="99" t="s">
        <v>81</v>
      </c>
      <c r="B38" s="59" t="s">
        <v>149</v>
      </c>
      <c r="C38" s="99"/>
      <c r="D38" s="58"/>
      <c r="E38" s="58"/>
      <c r="F38" s="53" t="str">
        <f t="shared" si="5"/>
        <v>Baja</v>
      </c>
      <c r="G38" s="54" t="s">
        <v>8</v>
      </c>
      <c r="H38" s="99"/>
      <c r="I38" s="55">
        <f t="shared" si="6"/>
        <v>2</v>
      </c>
      <c r="J38" s="56"/>
      <c r="K38" s="63"/>
      <c r="L38" s="58"/>
      <c r="M38" s="58"/>
      <c r="N38" s="61" t="str">
        <f t="shared" si="2"/>
        <v>Baja</v>
      </c>
      <c r="O38" s="54"/>
      <c r="P38" s="54" t="e">
        <f t="shared" si="3"/>
        <v>#N/A</v>
      </c>
    </row>
    <row r="39" spans="1:16" s="69" customFormat="1" ht="89.25" x14ac:dyDescent="0.2">
      <c r="A39" s="99" t="s">
        <v>81</v>
      </c>
      <c r="B39" s="59" t="s">
        <v>140</v>
      </c>
      <c r="C39" s="99"/>
      <c r="D39" s="58"/>
      <c r="E39" s="58"/>
      <c r="F39" s="53" t="str">
        <f t="shared" si="5"/>
        <v>Baja</v>
      </c>
      <c r="G39" s="54" t="s">
        <v>8</v>
      </c>
      <c r="H39" s="99"/>
      <c r="I39" s="55">
        <f t="shared" si="6"/>
        <v>2</v>
      </c>
      <c r="J39" s="56"/>
      <c r="K39" s="63"/>
      <c r="L39" s="58"/>
      <c r="M39" s="58"/>
      <c r="N39" s="61" t="str">
        <f t="shared" ref="N39:N56" si="7">IF(AND(L39="Alta",M39="Alta"),"Muy Alta",IF(AND(L39="Alta",M39="Media"),"Alta",IF(AND(L39="Media",M39="Alta"),"Alta",IF(AND(L39="Baja",M39="Alta"),"Media",IF(AND(L39="Alta",M39="Baja"),"Media",IF(AND(L39="Media",M39="Media"),"Media",IF(AND(L39="Baja",M39="Baja"),"Muy Baja","Baja")))))))</f>
        <v>Baja</v>
      </c>
      <c r="O39" s="54"/>
      <c r="P39" s="54" t="e">
        <f t="shared" ref="P39:P56" si="8">VLOOKUP(O39,matriz_riesgos,IF(N39="Muy Baja",2,IF(N39="Baja",3,IF(N39="Media",4,IF(N39="Alta",5,IF(N39="Muy Alta",6,"N/A"))))),0)</f>
        <v>#N/A</v>
      </c>
    </row>
    <row r="40" spans="1:16" s="69" customFormat="1" ht="25.5" x14ac:dyDescent="0.2">
      <c r="A40" s="99" t="s">
        <v>81</v>
      </c>
      <c r="B40" s="59" t="s">
        <v>150</v>
      </c>
      <c r="C40" s="99"/>
      <c r="D40" s="58"/>
      <c r="E40" s="58"/>
      <c r="F40" s="53" t="str">
        <f t="shared" si="5"/>
        <v>Baja</v>
      </c>
      <c r="G40" s="54" t="s">
        <v>8</v>
      </c>
      <c r="H40" s="99"/>
      <c r="I40" s="55">
        <f t="shared" si="6"/>
        <v>2</v>
      </c>
      <c r="J40" s="56"/>
      <c r="K40" s="63"/>
      <c r="L40" s="58"/>
      <c r="M40" s="58"/>
      <c r="N40" s="61" t="str">
        <f t="shared" si="7"/>
        <v>Baja</v>
      </c>
      <c r="O40" s="54"/>
      <c r="P40" s="54" t="e">
        <f t="shared" si="8"/>
        <v>#N/A</v>
      </c>
    </row>
    <row r="41" spans="1:16" s="69" customFormat="1" ht="51" x14ac:dyDescent="0.2">
      <c r="A41" s="99" t="s">
        <v>81</v>
      </c>
      <c r="B41" s="59" t="s">
        <v>151</v>
      </c>
      <c r="C41" s="99"/>
      <c r="D41" s="58"/>
      <c r="E41" s="58"/>
      <c r="F41" s="53" t="str">
        <f t="shared" si="5"/>
        <v>Baja</v>
      </c>
      <c r="G41" s="54" t="s">
        <v>8</v>
      </c>
      <c r="H41" s="99"/>
      <c r="I41" s="55">
        <f t="shared" si="6"/>
        <v>2</v>
      </c>
      <c r="J41" s="56"/>
      <c r="K41" s="63"/>
      <c r="L41" s="58"/>
      <c r="M41" s="58"/>
      <c r="N41" s="61" t="str">
        <f t="shared" si="7"/>
        <v>Baja</v>
      </c>
      <c r="O41" s="54"/>
      <c r="P41" s="54" t="e">
        <f t="shared" si="8"/>
        <v>#N/A</v>
      </c>
    </row>
    <row r="42" spans="1:16" s="69" customFormat="1" ht="102" x14ac:dyDescent="0.2">
      <c r="A42" s="99" t="s">
        <v>81</v>
      </c>
      <c r="B42" s="59" t="s">
        <v>152</v>
      </c>
      <c r="C42" s="99"/>
      <c r="D42" s="58"/>
      <c r="E42" s="58"/>
      <c r="F42" s="53" t="str">
        <f t="shared" si="5"/>
        <v>Baja</v>
      </c>
      <c r="G42" s="54" t="s">
        <v>8</v>
      </c>
      <c r="H42" s="99"/>
      <c r="I42" s="55">
        <f t="shared" si="6"/>
        <v>2</v>
      </c>
      <c r="J42" s="56"/>
      <c r="K42" s="63"/>
      <c r="L42" s="58"/>
      <c r="M42" s="58"/>
      <c r="N42" s="61" t="str">
        <f t="shared" si="7"/>
        <v>Baja</v>
      </c>
      <c r="O42" s="54"/>
      <c r="P42" s="54" t="e">
        <f t="shared" si="8"/>
        <v>#N/A</v>
      </c>
    </row>
    <row r="43" spans="1:16" s="69" customFormat="1" ht="25.5" x14ac:dyDescent="0.2">
      <c r="A43" s="99" t="s">
        <v>81</v>
      </c>
      <c r="B43" s="59" t="s">
        <v>153</v>
      </c>
      <c r="C43" s="99"/>
      <c r="D43" s="58"/>
      <c r="E43" s="58"/>
      <c r="F43" s="53" t="str">
        <f t="shared" si="5"/>
        <v>Baja</v>
      </c>
      <c r="G43" s="54" t="s">
        <v>8</v>
      </c>
      <c r="H43" s="99"/>
      <c r="I43" s="55">
        <f t="shared" si="6"/>
        <v>2</v>
      </c>
      <c r="J43" s="56"/>
      <c r="K43" s="63"/>
      <c r="L43" s="58"/>
      <c r="M43" s="58"/>
      <c r="N43" s="61" t="str">
        <f t="shared" si="7"/>
        <v>Baja</v>
      </c>
      <c r="O43" s="54"/>
      <c r="P43" s="54" t="e">
        <f t="shared" si="8"/>
        <v>#N/A</v>
      </c>
    </row>
    <row r="44" spans="1:16" s="69" customFormat="1" ht="63.75" x14ac:dyDescent="0.2">
      <c r="A44" s="99" t="s">
        <v>81</v>
      </c>
      <c r="B44" s="59" t="s">
        <v>154</v>
      </c>
      <c r="C44" s="99"/>
      <c r="D44" s="58"/>
      <c r="E44" s="58"/>
      <c r="F44" s="53" t="str">
        <f t="shared" si="5"/>
        <v>Baja</v>
      </c>
      <c r="G44" s="54" t="s">
        <v>8</v>
      </c>
      <c r="H44" s="99"/>
      <c r="I44" s="55">
        <f t="shared" si="6"/>
        <v>2</v>
      </c>
      <c r="J44" s="56"/>
      <c r="K44" s="63"/>
      <c r="L44" s="58"/>
      <c r="M44" s="58"/>
      <c r="N44" s="61" t="str">
        <f t="shared" si="7"/>
        <v>Baja</v>
      </c>
      <c r="O44" s="54"/>
      <c r="P44" s="54" t="e">
        <f t="shared" si="8"/>
        <v>#N/A</v>
      </c>
    </row>
    <row r="45" spans="1:16" s="69" customFormat="1" ht="38.25" x14ac:dyDescent="0.2">
      <c r="A45" s="99" t="s">
        <v>81</v>
      </c>
      <c r="B45" s="59" t="s">
        <v>155</v>
      </c>
      <c r="C45" s="99"/>
      <c r="D45" s="58"/>
      <c r="E45" s="58"/>
      <c r="F45" s="53" t="str">
        <f t="shared" si="5"/>
        <v>Baja</v>
      </c>
      <c r="G45" s="54" t="s">
        <v>8</v>
      </c>
      <c r="H45" s="99"/>
      <c r="I45" s="55">
        <f t="shared" si="6"/>
        <v>2</v>
      </c>
      <c r="J45" s="56"/>
      <c r="K45" s="63"/>
      <c r="L45" s="58"/>
      <c r="M45" s="58"/>
      <c r="N45" s="61" t="str">
        <f t="shared" si="7"/>
        <v>Baja</v>
      </c>
      <c r="O45" s="54"/>
      <c r="P45" s="54" t="e">
        <f t="shared" si="8"/>
        <v>#N/A</v>
      </c>
    </row>
    <row r="46" spans="1:16" s="69" customFormat="1" ht="25.5" x14ac:dyDescent="0.2">
      <c r="A46" s="99" t="s">
        <v>81</v>
      </c>
      <c r="B46" s="59" t="s">
        <v>137</v>
      </c>
      <c r="C46" s="99"/>
      <c r="D46" s="58"/>
      <c r="E46" s="58"/>
      <c r="F46" s="53" t="str">
        <f t="shared" si="5"/>
        <v>Baja</v>
      </c>
      <c r="G46" s="54" t="s">
        <v>8</v>
      </c>
      <c r="H46" s="99"/>
      <c r="I46" s="55">
        <f t="shared" si="6"/>
        <v>2</v>
      </c>
      <c r="J46" s="56"/>
      <c r="K46" s="63"/>
      <c r="L46" s="58"/>
      <c r="M46" s="58"/>
      <c r="N46" s="61" t="str">
        <f t="shared" si="7"/>
        <v>Baja</v>
      </c>
      <c r="O46" s="54"/>
      <c r="P46" s="54" t="e">
        <f t="shared" si="8"/>
        <v>#N/A</v>
      </c>
    </row>
    <row r="47" spans="1:16" s="69" customFormat="1" ht="89.25" x14ac:dyDescent="0.2">
      <c r="A47" s="99" t="s">
        <v>81</v>
      </c>
      <c r="B47" s="59" t="s">
        <v>136</v>
      </c>
      <c r="C47" s="99"/>
      <c r="D47" s="58"/>
      <c r="E47" s="58"/>
      <c r="F47" s="53" t="str">
        <f t="shared" si="5"/>
        <v>Baja</v>
      </c>
      <c r="G47" s="54" t="s">
        <v>8</v>
      </c>
      <c r="H47" s="99"/>
      <c r="I47" s="55">
        <f t="shared" si="6"/>
        <v>2</v>
      </c>
      <c r="J47" s="56"/>
      <c r="K47" s="63"/>
      <c r="L47" s="58"/>
      <c r="M47" s="58"/>
      <c r="N47" s="61" t="str">
        <f t="shared" si="7"/>
        <v>Baja</v>
      </c>
      <c r="O47" s="54"/>
      <c r="P47" s="54" t="e">
        <f t="shared" si="8"/>
        <v>#N/A</v>
      </c>
    </row>
    <row r="48" spans="1:16" s="65" customFormat="1" ht="89.25" x14ac:dyDescent="0.2">
      <c r="A48" s="99" t="s">
        <v>81</v>
      </c>
      <c r="B48" s="59" t="s">
        <v>131</v>
      </c>
      <c r="C48" s="99"/>
      <c r="D48" s="58"/>
      <c r="E48" s="58"/>
      <c r="F48" s="53" t="str">
        <f t="shared" si="5"/>
        <v>Baja</v>
      </c>
      <c r="G48" s="54" t="s">
        <v>8</v>
      </c>
      <c r="H48" s="99"/>
      <c r="I48" s="51">
        <f t="shared" si="6"/>
        <v>2</v>
      </c>
      <c r="J48" s="56"/>
      <c r="K48" s="60"/>
      <c r="L48" s="58"/>
      <c r="M48" s="58"/>
      <c r="N48" s="61" t="str">
        <f t="shared" si="7"/>
        <v>Baja</v>
      </c>
      <c r="O48" s="54"/>
      <c r="P48" s="54" t="e">
        <f t="shared" si="8"/>
        <v>#N/A</v>
      </c>
    </row>
    <row r="49" spans="1:16" s="65" customFormat="1" ht="51" x14ac:dyDescent="0.2">
      <c r="A49" s="99" t="s">
        <v>81</v>
      </c>
      <c r="B49" s="59" t="s">
        <v>132</v>
      </c>
      <c r="C49" s="99"/>
      <c r="D49" s="58"/>
      <c r="E49" s="58"/>
      <c r="F49" s="53" t="str">
        <f t="shared" si="5"/>
        <v>Baja</v>
      </c>
      <c r="G49" s="54" t="s">
        <v>8</v>
      </c>
      <c r="H49" s="99"/>
      <c r="I49" s="51">
        <f t="shared" si="6"/>
        <v>2</v>
      </c>
      <c r="J49" s="56"/>
      <c r="K49" s="60"/>
      <c r="L49" s="58"/>
      <c r="M49" s="58"/>
      <c r="N49" s="61" t="str">
        <f t="shared" si="7"/>
        <v>Baja</v>
      </c>
      <c r="O49" s="54"/>
      <c r="P49" s="54" t="e">
        <f t="shared" si="8"/>
        <v>#N/A</v>
      </c>
    </row>
    <row r="50" spans="1:16" s="70" customFormat="1" ht="51" x14ac:dyDescent="0.2">
      <c r="A50" s="103" t="s">
        <v>109</v>
      </c>
      <c r="B50" s="59" t="s">
        <v>164</v>
      </c>
      <c r="C50" s="99"/>
      <c r="D50" s="58"/>
      <c r="E50" s="58"/>
      <c r="F50" s="53" t="str">
        <f t="shared" si="5"/>
        <v>Baja</v>
      </c>
      <c r="G50" s="54" t="s">
        <v>8</v>
      </c>
      <c r="H50" s="99"/>
      <c r="I50" s="51">
        <f t="shared" si="6"/>
        <v>2</v>
      </c>
      <c r="J50" s="56"/>
      <c r="K50" s="107"/>
      <c r="L50" s="58"/>
      <c r="M50" s="58"/>
      <c r="N50" s="61" t="str">
        <f t="shared" si="7"/>
        <v>Baja</v>
      </c>
      <c r="O50" s="54"/>
      <c r="P50" s="54" t="e">
        <f t="shared" si="8"/>
        <v>#N/A</v>
      </c>
    </row>
    <row r="51" spans="1:16" s="65" customFormat="1" ht="38.25" x14ac:dyDescent="0.2">
      <c r="A51" s="103" t="s">
        <v>109</v>
      </c>
      <c r="B51" s="59" t="s">
        <v>165</v>
      </c>
      <c r="C51" s="99"/>
      <c r="D51" s="58"/>
      <c r="E51" s="58"/>
      <c r="F51" s="53" t="str">
        <f t="shared" si="5"/>
        <v>Baja</v>
      </c>
      <c r="G51" s="54" t="s">
        <v>8</v>
      </c>
      <c r="H51" s="99"/>
      <c r="I51" s="51">
        <f t="shared" si="6"/>
        <v>2</v>
      </c>
      <c r="J51" s="56"/>
      <c r="K51" s="60"/>
      <c r="L51" s="58"/>
      <c r="M51" s="58"/>
      <c r="N51" s="61" t="str">
        <f t="shared" si="7"/>
        <v>Baja</v>
      </c>
      <c r="O51" s="54"/>
      <c r="P51" s="54" t="e">
        <f t="shared" si="8"/>
        <v>#N/A</v>
      </c>
    </row>
    <row r="52" spans="1:16" s="68" customFormat="1" ht="38.25" x14ac:dyDescent="0.2">
      <c r="A52" s="103" t="s">
        <v>109</v>
      </c>
      <c r="B52" s="59" t="s">
        <v>166</v>
      </c>
      <c r="C52" s="99"/>
      <c r="D52" s="58"/>
      <c r="E52" s="58"/>
      <c r="F52" s="53" t="str">
        <f t="shared" si="5"/>
        <v>Baja</v>
      </c>
      <c r="G52" s="54" t="s">
        <v>8</v>
      </c>
      <c r="H52" s="99"/>
      <c r="I52" s="51">
        <f t="shared" si="6"/>
        <v>2</v>
      </c>
      <c r="J52" s="56"/>
      <c r="K52" s="62"/>
      <c r="L52" s="58"/>
      <c r="M52" s="58"/>
      <c r="N52" s="61" t="str">
        <f t="shared" si="7"/>
        <v>Baja</v>
      </c>
      <c r="O52" s="54"/>
      <c r="P52" s="54" t="e">
        <f t="shared" si="8"/>
        <v>#N/A</v>
      </c>
    </row>
    <row r="53" spans="1:16" s="64" customFormat="1" ht="12.75" x14ac:dyDescent="0.2">
      <c r="A53" s="103" t="s">
        <v>109</v>
      </c>
      <c r="B53" s="101" t="s">
        <v>122</v>
      </c>
      <c r="C53" s="99"/>
      <c r="D53" s="58"/>
      <c r="E53" s="58"/>
      <c r="F53" s="53" t="str">
        <f t="shared" si="5"/>
        <v>Baja</v>
      </c>
      <c r="G53" s="54" t="s">
        <v>8</v>
      </c>
      <c r="H53" s="99"/>
      <c r="I53" s="51">
        <f t="shared" si="6"/>
        <v>2</v>
      </c>
      <c r="J53" s="56"/>
      <c r="K53" s="56"/>
      <c r="L53" s="58"/>
      <c r="M53" s="58"/>
      <c r="N53" s="61" t="str">
        <f t="shared" si="7"/>
        <v>Baja</v>
      </c>
      <c r="O53" s="54"/>
      <c r="P53" s="54" t="e">
        <f t="shared" si="8"/>
        <v>#N/A</v>
      </c>
    </row>
    <row r="54" spans="1:16" s="68" customFormat="1" ht="12.75" x14ac:dyDescent="0.2">
      <c r="A54" s="103" t="s">
        <v>109</v>
      </c>
      <c r="B54" s="101" t="s">
        <v>123</v>
      </c>
      <c r="C54" s="99"/>
      <c r="D54" s="58"/>
      <c r="E54" s="58"/>
      <c r="F54" s="53" t="str">
        <f t="shared" si="5"/>
        <v>Baja</v>
      </c>
      <c r="G54" s="54" t="s">
        <v>8</v>
      </c>
      <c r="H54" s="99"/>
      <c r="I54" s="51">
        <f t="shared" si="6"/>
        <v>2</v>
      </c>
      <c r="J54" s="56"/>
      <c r="K54" s="63"/>
      <c r="L54" s="58"/>
      <c r="M54" s="58"/>
      <c r="N54" s="61" t="str">
        <f t="shared" si="7"/>
        <v>Baja</v>
      </c>
      <c r="O54" s="54"/>
      <c r="P54" s="54" t="e">
        <f t="shared" si="8"/>
        <v>#N/A</v>
      </c>
    </row>
    <row r="55" spans="1:16" s="64" customFormat="1" ht="25.5" x14ac:dyDescent="0.2">
      <c r="A55" s="103" t="s">
        <v>109</v>
      </c>
      <c r="B55" s="101" t="s">
        <v>124</v>
      </c>
      <c r="C55" s="99"/>
      <c r="D55" s="58"/>
      <c r="E55" s="58"/>
      <c r="F55" s="53" t="str">
        <f t="shared" si="5"/>
        <v>Baja</v>
      </c>
      <c r="G55" s="54" t="s">
        <v>8</v>
      </c>
      <c r="H55" s="99"/>
      <c r="I55" s="51">
        <f t="shared" si="6"/>
        <v>2</v>
      </c>
      <c r="J55" s="56"/>
      <c r="K55" s="62"/>
      <c r="L55" s="58"/>
      <c r="M55" s="58"/>
      <c r="N55" s="61" t="str">
        <f t="shared" si="7"/>
        <v>Baja</v>
      </c>
      <c r="O55" s="54"/>
      <c r="P55" s="54" t="e">
        <f t="shared" si="8"/>
        <v>#N/A</v>
      </c>
    </row>
    <row r="56" spans="1:16" s="65" customFormat="1" ht="51" x14ac:dyDescent="0.2">
      <c r="A56" s="99" t="s">
        <v>82</v>
      </c>
      <c r="B56" s="59" t="s">
        <v>129</v>
      </c>
      <c r="C56" s="99"/>
      <c r="D56" s="58"/>
      <c r="E56" s="58"/>
      <c r="F56" s="53" t="str">
        <f t="shared" si="5"/>
        <v>Baja</v>
      </c>
      <c r="G56" s="54" t="s">
        <v>8</v>
      </c>
      <c r="H56" s="99"/>
      <c r="I56" s="51">
        <f t="shared" si="6"/>
        <v>2</v>
      </c>
      <c r="J56" s="56"/>
      <c r="K56" s="60"/>
      <c r="L56" s="58"/>
      <c r="M56" s="58"/>
      <c r="N56" s="61" t="str">
        <f t="shared" si="7"/>
        <v>Baja</v>
      </c>
      <c r="O56" s="54"/>
      <c r="P56" s="54" t="e">
        <f t="shared" si="8"/>
        <v>#N/A</v>
      </c>
    </row>
    <row r="57" spans="1:16" s="65" customFormat="1" ht="102" x14ac:dyDescent="0.2">
      <c r="A57" s="99" t="s">
        <v>82</v>
      </c>
      <c r="B57" s="59" t="s">
        <v>156</v>
      </c>
      <c r="C57" s="99"/>
      <c r="D57" s="58"/>
      <c r="E57" s="58"/>
      <c r="F57" s="53" t="str">
        <f t="shared" si="5"/>
        <v>Baja</v>
      </c>
      <c r="G57" s="54" t="s">
        <v>8</v>
      </c>
      <c r="H57" s="99"/>
      <c r="I57" s="51">
        <f t="shared" si="6"/>
        <v>2</v>
      </c>
      <c r="J57" s="56"/>
      <c r="K57" s="97"/>
      <c r="L57" s="58"/>
      <c r="M57" s="58"/>
      <c r="N57" s="102"/>
      <c r="O57" s="54"/>
      <c r="P57" s="54"/>
    </row>
    <row r="58" spans="1:16" s="67" customFormat="1" ht="51" x14ac:dyDescent="0.2">
      <c r="A58" s="99" t="s">
        <v>82</v>
      </c>
      <c r="B58" s="59" t="s">
        <v>157</v>
      </c>
      <c r="C58" s="99"/>
      <c r="D58" s="58"/>
      <c r="E58" s="58"/>
      <c r="F58" s="53" t="str">
        <f t="shared" si="5"/>
        <v>Baja</v>
      </c>
      <c r="G58" s="54" t="s">
        <v>8</v>
      </c>
      <c r="H58" s="99"/>
      <c r="I58" s="51">
        <f t="shared" si="6"/>
        <v>2</v>
      </c>
      <c r="J58" s="56"/>
      <c r="K58" s="57"/>
      <c r="L58" s="58"/>
      <c r="M58" s="108"/>
      <c r="N58" s="109"/>
      <c r="O58" s="54"/>
      <c r="P58" s="54"/>
    </row>
    <row r="59" spans="1:16" s="67" customFormat="1" ht="51" x14ac:dyDescent="0.2">
      <c r="A59" s="99" t="s">
        <v>82</v>
      </c>
      <c r="B59" s="59" t="s">
        <v>158</v>
      </c>
      <c r="C59" s="99"/>
      <c r="D59" s="58"/>
      <c r="E59" s="58"/>
      <c r="F59" s="53" t="str">
        <f t="shared" si="5"/>
        <v>Baja</v>
      </c>
      <c r="G59" s="54" t="s">
        <v>8</v>
      </c>
      <c r="H59" s="99"/>
      <c r="I59" s="51">
        <f t="shared" si="6"/>
        <v>2</v>
      </c>
      <c r="J59" s="56"/>
      <c r="K59" s="57"/>
      <c r="L59" s="58"/>
      <c r="M59" s="108"/>
      <c r="N59" s="109"/>
      <c r="O59" s="54"/>
      <c r="P59" s="54"/>
    </row>
    <row r="60" spans="1:16" s="67" customFormat="1" ht="38.25" x14ac:dyDescent="0.2">
      <c r="A60" s="99" t="s">
        <v>82</v>
      </c>
      <c r="B60" s="59" t="s">
        <v>159</v>
      </c>
      <c r="C60" s="99"/>
      <c r="D60" s="58"/>
      <c r="E60" s="58"/>
      <c r="F60" s="53" t="str">
        <f t="shared" si="5"/>
        <v>Baja</v>
      </c>
      <c r="G60" s="54" t="s">
        <v>8</v>
      </c>
      <c r="H60" s="99"/>
      <c r="I60" s="51">
        <f t="shared" si="6"/>
        <v>2</v>
      </c>
      <c r="J60" s="56"/>
      <c r="K60" s="57"/>
      <c r="L60" s="58"/>
      <c r="M60" s="108"/>
      <c r="N60" s="109"/>
      <c r="O60" s="54"/>
      <c r="P60" s="54"/>
    </row>
    <row r="61" spans="1:16" s="67" customFormat="1" ht="38.25" x14ac:dyDescent="0.2">
      <c r="A61" s="99" t="s">
        <v>82</v>
      </c>
      <c r="B61" s="59" t="s">
        <v>160</v>
      </c>
      <c r="C61" s="99"/>
      <c r="D61" s="58"/>
      <c r="E61" s="58"/>
      <c r="F61" s="53" t="str">
        <f t="shared" si="5"/>
        <v>Baja</v>
      </c>
      <c r="G61" s="54" t="s">
        <v>8</v>
      </c>
      <c r="H61" s="99"/>
      <c r="I61" s="51">
        <f t="shared" si="6"/>
        <v>2</v>
      </c>
      <c r="J61" s="56"/>
      <c r="K61" s="57"/>
      <c r="L61" s="58"/>
      <c r="M61" s="108"/>
      <c r="N61" s="109"/>
      <c r="O61" s="54"/>
      <c r="P61" s="54"/>
    </row>
    <row r="62" spans="1:16" s="67" customFormat="1" ht="38.25" x14ac:dyDescent="0.2">
      <c r="A62" s="99" t="s">
        <v>82</v>
      </c>
      <c r="B62" s="59" t="s">
        <v>161</v>
      </c>
      <c r="C62" s="99"/>
      <c r="D62" s="58"/>
      <c r="E62" s="58"/>
      <c r="F62" s="53" t="str">
        <f t="shared" si="5"/>
        <v>Baja</v>
      </c>
      <c r="G62" s="54" t="s">
        <v>8</v>
      </c>
      <c r="H62" s="99"/>
      <c r="I62" s="51">
        <f t="shared" si="6"/>
        <v>2</v>
      </c>
      <c r="J62" s="110"/>
      <c r="K62" s="98"/>
      <c r="L62" s="104"/>
      <c r="M62" s="111"/>
      <c r="N62" s="112"/>
      <c r="O62" s="105"/>
      <c r="P62" s="105"/>
    </row>
    <row r="63" spans="1:16" s="67" customFormat="1" ht="38.25" x14ac:dyDescent="0.2">
      <c r="A63" s="99" t="s">
        <v>82</v>
      </c>
      <c r="B63" s="59" t="s">
        <v>162</v>
      </c>
      <c r="C63" s="99"/>
      <c r="D63" s="58"/>
      <c r="E63" s="58"/>
      <c r="F63" s="53" t="str">
        <f t="shared" si="5"/>
        <v>Baja</v>
      </c>
      <c r="G63" s="54" t="s">
        <v>8</v>
      </c>
      <c r="H63" s="99"/>
      <c r="I63" s="51">
        <f t="shared" si="6"/>
        <v>2</v>
      </c>
      <c r="J63" s="83"/>
      <c r="K63" s="57"/>
      <c r="L63" s="58"/>
      <c r="M63" s="108"/>
      <c r="N63" s="109"/>
      <c r="O63" s="54"/>
      <c r="P63" s="54"/>
    </row>
    <row r="64" spans="1:16" ht="51" x14ac:dyDescent="0.2">
      <c r="A64" s="99" t="s">
        <v>82</v>
      </c>
      <c r="B64" s="59" t="s">
        <v>163</v>
      </c>
      <c r="C64" s="99"/>
      <c r="D64" s="58"/>
      <c r="E64" s="58"/>
      <c r="F64" s="53" t="str">
        <f t="shared" si="5"/>
        <v>Baja</v>
      </c>
      <c r="G64" s="54" t="s">
        <v>8</v>
      </c>
      <c r="H64" s="99"/>
      <c r="I64" s="51">
        <f t="shared" si="6"/>
        <v>2</v>
      </c>
      <c r="J64" s="113"/>
      <c r="K64" s="114"/>
      <c r="L64" s="58"/>
      <c r="M64" s="108"/>
      <c r="N64" s="109"/>
      <c r="O64" s="54"/>
      <c r="P64" s="54"/>
    </row>
    <row r="65" spans="1:16" x14ac:dyDescent="0.2">
      <c r="A65" s="99" t="s">
        <v>82</v>
      </c>
      <c r="B65" s="101" t="s">
        <v>121</v>
      </c>
      <c r="C65" s="99"/>
      <c r="D65" s="58"/>
      <c r="E65" s="58"/>
      <c r="F65" s="53" t="str">
        <f>IF(AND(D65="Alta",E65="Alta"),"Muy Alta",IF(AND(D65="Alta",E65="Media"),"Alta",IF(AND(D65="Media",E65="Alta"),"Alta",IF(AND(D65="Baja",E65="Alta"),"Media",IF(AND(D65="Alta",E65="Baja"),"Media",IF(AND(D65="Media",E65="Media"),"Media",IF(AND(D65="Baja",E65="Baja"),"Muy Baja","Baja")))))))</f>
        <v>Baja</v>
      </c>
      <c r="G65" s="54" t="s">
        <v>8</v>
      </c>
      <c r="H65" s="99"/>
      <c r="I65" s="51">
        <f t="shared" si="6"/>
        <v>2</v>
      </c>
      <c r="J65" s="113"/>
      <c r="K65" s="114"/>
      <c r="L65" s="58"/>
      <c r="M65" s="108"/>
      <c r="N65" s="109"/>
      <c r="O65" s="54"/>
      <c r="P65" s="54"/>
    </row>
  </sheetData>
  <phoneticPr fontId="4" type="noConversion"/>
  <conditionalFormatting sqref="P1 J64:J65536">
    <cfRule type="cellIs" dxfId="5" priority="7" stopIfTrue="1" operator="greaterThanOrEqual">
      <formula>6</formula>
    </cfRule>
  </conditionalFormatting>
  <conditionalFormatting sqref="I1:I1048576">
    <cfRule type="cellIs" dxfId="4" priority="8" stopIfTrue="1" operator="greaterThanOrEqual">
      <formula>6</formula>
    </cfRule>
    <cfRule type="cellIs" dxfId="3" priority="9" stopIfTrue="1" operator="equal">
      <formula>5</formula>
    </cfRule>
  </conditionalFormatting>
  <conditionalFormatting sqref="I2:I65">
    <cfRule type="cellIs" dxfId="2" priority="10" stopIfTrue="1" operator="greaterThanOrEqual">
      <formula>6</formula>
    </cfRule>
    <cfRule type="cellIs" dxfId="1" priority="11" stopIfTrue="1" operator="equal">
      <formula>5</formula>
    </cfRule>
    <cfRule type="cellIs" dxfId="0" priority="12" stopIfTrue="1" operator="lessThan">
      <formula>5</formula>
    </cfRule>
  </conditionalFormatting>
  <conditionalFormatting sqref="N47:N57 N2:N44">
    <cfRule type="expression" priority="13" stopIfTrue="1">
      <formula>"Baja"</formula>
    </cfRule>
    <cfRule type="expression" priority="14" stopIfTrue="1">
      <formula>"Contiene"</formula>
    </cfRule>
  </conditionalFormatting>
  <dataValidations count="3">
    <dataValidation type="list" allowBlank="1" showInputMessage="1" showErrorMessage="1" sqref="D2:E63" xr:uid="{00000000-0002-0000-0200-000000000000}">
      <formula1>"Baja,Media,Alta"</formula1>
    </dataValidation>
    <dataValidation type="list" allowBlank="1" showInputMessage="1" showErrorMessage="1" sqref="G2:G65" xr:uid="{00000000-0002-0000-0200-000001000000}">
      <formula1>"No Aplica,Bajo,Medio,Medio-Alto,Alto"</formula1>
    </dataValidation>
    <dataValidation type="list" allowBlank="1" showInputMessage="1" showErrorMessage="1" sqref="J2:J63" xr:uid="{00000000-0002-0000-0200-000002000000}">
      <formula1>"Reducir,Retener,Evitar,Transferir"</formula1>
    </dataValidation>
  </dataValidations>
  <pageMargins left="0.35" right="0.74803149606299213" top="0.98425196850393704" bottom="0.98425196850393704" header="0" footer="0"/>
  <pageSetup paperSize="9" orientation="landscape"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H24"/>
  <sheetViews>
    <sheetView showGridLines="0" zoomScaleNormal="100" workbookViewId="0">
      <selection activeCell="K11" sqref="K11"/>
    </sheetView>
  </sheetViews>
  <sheetFormatPr baseColWidth="10" defaultRowHeight="12.75" x14ac:dyDescent="0.2"/>
  <cols>
    <col min="1" max="1" width="20.140625" style="79" customWidth="1"/>
    <col min="2" max="2" width="20.85546875" style="79" customWidth="1"/>
    <col min="3" max="3" width="9.28515625" style="79" customWidth="1"/>
    <col min="4" max="4" width="11.42578125" style="79" customWidth="1"/>
    <col min="5" max="5" width="9.42578125" style="79" customWidth="1"/>
    <col min="6" max="6" width="25.5703125" style="79" customWidth="1"/>
    <col min="7" max="7" width="16" style="79" customWidth="1"/>
    <col min="8" max="16384" width="11.42578125" style="79"/>
  </cols>
  <sheetData>
    <row r="2" spans="1:8" ht="12.75" customHeight="1" x14ac:dyDescent="0.2">
      <c r="A2" s="132" t="s">
        <v>89</v>
      </c>
      <c r="B2" s="132" t="s">
        <v>90</v>
      </c>
      <c r="C2" s="132" t="s">
        <v>94</v>
      </c>
      <c r="D2" s="132"/>
      <c r="E2" s="132"/>
      <c r="F2" s="132"/>
      <c r="G2" s="133" t="s">
        <v>105</v>
      </c>
      <c r="H2" s="132" t="s">
        <v>104</v>
      </c>
    </row>
    <row r="3" spans="1:8" x14ac:dyDescent="0.2">
      <c r="A3" s="132"/>
      <c r="B3" s="132"/>
      <c r="C3" s="81" t="s">
        <v>91</v>
      </c>
      <c r="D3" s="81" t="s">
        <v>92</v>
      </c>
      <c r="E3" s="81" t="s">
        <v>107</v>
      </c>
      <c r="F3" s="81" t="s">
        <v>93</v>
      </c>
      <c r="G3" s="134"/>
      <c r="H3" s="132"/>
    </row>
    <row r="4" spans="1:8" x14ac:dyDescent="0.2">
      <c r="A4" s="80" t="s">
        <v>95</v>
      </c>
      <c r="B4" s="80"/>
      <c r="C4" s="80"/>
      <c r="D4" s="80"/>
      <c r="E4" s="80"/>
      <c r="F4" s="80"/>
      <c r="G4" s="80"/>
      <c r="H4" s="80"/>
    </row>
    <row r="5" spans="1:8" x14ac:dyDescent="0.2">
      <c r="A5" s="80" t="s">
        <v>96</v>
      </c>
      <c r="B5" s="80"/>
      <c r="C5" s="80"/>
      <c r="D5" s="80"/>
      <c r="E5" s="80"/>
      <c r="F5" s="80"/>
      <c r="G5" s="80"/>
      <c r="H5" s="80"/>
    </row>
    <row r="6" spans="1:8" x14ac:dyDescent="0.2">
      <c r="A6" s="80" t="s">
        <v>96</v>
      </c>
      <c r="B6" s="80"/>
      <c r="C6" s="80"/>
      <c r="D6" s="80"/>
      <c r="E6" s="80"/>
      <c r="F6" s="80"/>
      <c r="G6" s="80"/>
      <c r="H6" s="80"/>
    </row>
    <row r="7" spans="1:8" x14ac:dyDescent="0.2">
      <c r="A7" s="80" t="s">
        <v>96</v>
      </c>
      <c r="B7" s="80"/>
      <c r="C7" s="80"/>
      <c r="D7" s="80"/>
      <c r="E7" s="80"/>
      <c r="F7" s="80"/>
      <c r="G7" s="80"/>
      <c r="H7" s="80"/>
    </row>
    <row r="8" spans="1:8" x14ac:dyDescent="0.2">
      <c r="A8" s="80" t="s">
        <v>95</v>
      </c>
      <c r="B8" s="80"/>
      <c r="C8" s="80"/>
      <c r="D8" s="80"/>
      <c r="E8" s="80"/>
      <c r="F8" s="80"/>
      <c r="G8" s="80"/>
      <c r="H8" s="80"/>
    </row>
    <row r="9" spans="1:8" x14ac:dyDescent="0.2">
      <c r="A9" s="80" t="s">
        <v>96</v>
      </c>
      <c r="B9" s="80"/>
      <c r="C9" s="80"/>
      <c r="D9" s="80"/>
      <c r="E9" s="80"/>
      <c r="F9" s="80"/>
      <c r="G9" s="80"/>
      <c r="H9" s="80"/>
    </row>
    <row r="10" spans="1:8" x14ac:dyDescent="0.2">
      <c r="A10" s="80" t="s">
        <v>96</v>
      </c>
      <c r="B10" s="80"/>
      <c r="C10" s="80"/>
      <c r="D10" s="80"/>
      <c r="E10" s="80"/>
      <c r="F10" s="80"/>
      <c r="G10" s="80"/>
      <c r="H10" s="80"/>
    </row>
    <row r="11" spans="1:8" x14ac:dyDescent="0.2">
      <c r="A11" s="80" t="s">
        <v>96</v>
      </c>
      <c r="B11" s="80"/>
      <c r="C11" s="80"/>
      <c r="D11" s="80"/>
      <c r="E11" s="80"/>
      <c r="F11" s="80"/>
      <c r="G11" s="80"/>
      <c r="H11" s="80"/>
    </row>
    <row r="12" spans="1:8" x14ac:dyDescent="0.2">
      <c r="A12" s="80"/>
      <c r="B12" s="80"/>
      <c r="C12" s="80"/>
      <c r="D12" s="80"/>
      <c r="E12" s="80"/>
      <c r="F12" s="80"/>
      <c r="G12" s="80"/>
      <c r="H12" s="80"/>
    </row>
    <row r="13" spans="1:8" x14ac:dyDescent="0.2">
      <c r="A13" s="80"/>
      <c r="B13" s="80"/>
      <c r="C13" s="80"/>
      <c r="D13" s="80"/>
      <c r="E13" s="80"/>
      <c r="F13" s="80"/>
      <c r="G13" s="80"/>
      <c r="H13" s="80"/>
    </row>
    <row r="14" spans="1:8" x14ac:dyDescent="0.2">
      <c r="A14" s="80"/>
      <c r="B14" s="80"/>
      <c r="C14" s="80"/>
      <c r="D14" s="80"/>
      <c r="E14" s="80"/>
      <c r="F14" s="80"/>
      <c r="G14" s="80"/>
      <c r="H14" s="80"/>
    </row>
    <row r="15" spans="1:8" x14ac:dyDescent="0.2">
      <c r="A15" s="80"/>
      <c r="B15" s="80"/>
      <c r="C15" s="80"/>
      <c r="D15" s="80"/>
      <c r="E15" s="80"/>
      <c r="F15" s="80"/>
      <c r="G15" s="80"/>
      <c r="H15" s="80"/>
    </row>
    <row r="16" spans="1:8" x14ac:dyDescent="0.2">
      <c r="A16" s="80"/>
      <c r="B16" s="80"/>
      <c r="C16" s="80"/>
      <c r="D16" s="80"/>
      <c r="E16" s="80"/>
      <c r="F16" s="80"/>
      <c r="G16" s="80"/>
      <c r="H16" s="80"/>
    </row>
    <row r="17" spans="1:8" x14ac:dyDescent="0.2">
      <c r="A17" s="80"/>
      <c r="B17" s="80"/>
      <c r="C17" s="80"/>
      <c r="D17" s="80"/>
      <c r="E17" s="80"/>
      <c r="F17" s="80"/>
      <c r="G17" s="80"/>
      <c r="H17" s="80"/>
    </row>
    <row r="18" spans="1:8" x14ac:dyDescent="0.2">
      <c r="A18" s="80"/>
      <c r="B18" s="80"/>
      <c r="C18" s="80"/>
      <c r="D18" s="80"/>
      <c r="E18" s="80"/>
      <c r="F18" s="80"/>
      <c r="G18" s="80"/>
      <c r="H18" s="80"/>
    </row>
    <row r="19" spans="1:8" x14ac:dyDescent="0.2">
      <c r="A19" s="80"/>
      <c r="B19" s="80"/>
      <c r="C19" s="80"/>
      <c r="D19" s="80"/>
      <c r="E19" s="80"/>
      <c r="F19" s="80"/>
      <c r="G19" s="80"/>
      <c r="H19" s="80"/>
    </row>
    <row r="20" spans="1:8" x14ac:dyDescent="0.2">
      <c r="A20" s="80"/>
      <c r="B20" s="80"/>
      <c r="C20" s="80"/>
      <c r="D20" s="80"/>
      <c r="E20" s="80"/>
      <c r="F20" s="80"/>
      <c r="G20" s="80"/>
      <c r="H20" s="80"/>
    </row>
    <row r="21" spans="1:8" x14ac:dyDescent="0.2">
      <c r="A21" s="80"/>
      <c r="B21" s="80"/>
      <c r="C21" s="80"/>
      <c r="D21" s="80"/>
      <c r="E21" s="80"/>
      <c r="F21" s="80"/>
      <c r="G21" s="80"/>
      <c r="H21" s="80"/>
    </row>
    <row r="22" spans="1:8" x14ac:dyDescent="0.2">
      <c r="A22" s="80"/>
      <c r="B22" s="80"/>
      <c r="C22" s="80"/>
      <c r="D22" s="80"/>
      <c r="E22" s="80"/>
      <c r="F22" s="80"/>
      <c r="G22" s="80"/>
      <c r="H22" s="80"/>
    </row>
    <row r="23" spans="1:8" x14ac:dyDescent="0.2">
      <c r="A23" s="80"/>
      <c r="B23" s="80"/>
      <c r="C23" s="80"/>
      <c r="D23" s="80"/>
      <c r="E23" s="80"/>
      <c r="F23" s="80"/>
      <c r="G23" s="80"/>
      <c r="H23" s="80"/>
    </row>
    <row r="24" spans="1:8" x14ac:dyDescent="0.2">
      <c r="A24" s="80"/>
      <c r="B24" s="80"/>
      <c r="C24" s="80"/>
      <c r="D24" s="80"/>
      <c r="E24" s="80"/>
      <c r="F24" s="80"/>
      <c r="G24" s="80"/>
      <c r="H24" s="80"/>
    </row>
  </sheetData>
  <mergeCells count="5">
    <mergeCell ref="A2:A3"/>
    <mergeCell ref="B2:B3"/>
    <mergeCell ref="C2:F2"/>
    <mergeCell ref="G2:G3"/>
    <mergeCell ref="H2:H3"/>
  </mergeCells>
  <pageMargins left="0.42" right="0.34" top="0.74803149606299213" bottom="0.74803149606299213" header="0.31496062992125984" footer="0.31496062992125984"/>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I19"/>
  <sheetViews>
    <sheetView showGridLines="0" workbookViewId="0">
      <selection activeCell="H26" sqref="H26"/>
    </sheetView>
  </sheetViews>
  <sheetFormatPr baseColWidth="10" defaultRowHeight="12.75" x14ac:dyDescent="0.2"/>
  <cols>
    <col min="1" max="1" width="4.28515625" style="79" customWidth="1"/>
    <col min="2" max="2" width="16.28515625" style="79" customWidth="1"/>
    <col min="3" max="3" width="18.85546875" style="79" customWidth="1"/>
    <col min="4" max="4" width="16.140625" style="79" customWidth="1"/>
    <col min="5" max="5" width="16" style="79" customWidth="1"/>
    <col min="6" max="6" width="15.7109375" style="79" customWidth="1"/>
    <col min="7" max="7" width="6.7109375" style="79" customWidth="1"/>
    <col min="8" max="8" width="13.5703125" style="79" customWidth="1"/>
    <col min="9" max="9" width="22.5703125" style="79" customWidth="1"/>
    <col min="10" max="16384" width="11.42578125" style="79"/>
  </cols>
  <sheetData>
    <row r="2" spans="2:9" ht="25.5" customHeight="1" x14ac:dyDescent="0.2">
      <c r="B2" s="82" t="s">
        <v>106</v>
      </c>
      <c r="C2" s="82" t="s">
        <v>97</v>
      </c>
      <c r="D2" s="82" t="s">
        <v>98</v>
      </c>
      <c r="E2" s="82" t="s">
        <v>99</v>
      </c>
      <c r="F2" s="82" t="s">
        <v>100</v>
      </c>
      <c r="G2" s="82" t="s">
        <v>101</v>
      </c>
      <c r="H2" s="82" t="s">
        <v>102</v>
      </c>
      <c r="I2" s="82" t="s">
        <v>103</v>
      </c>
    </row>
    <row r="3" spans="2:9" x14ac:dyDescent="0.2">
      <c r="B3" s="80"/>
      <c r="C3" s="80"/>
      <c r="D3" s="80"/>
      <c r="E3" s="80"/>
      <c r="F3" s="80"/>
      <c r="G3" s="80"/>
      <c r="H3" s="80"/>
      <c r="I3" s="80"/>
    </row>
    <row r="4" spans="2:9" x14ac:dyDescent="0.2">
      <c r="B4" s="80"/>
      <c r="C4" s="80"/>
      <c r="D4" s="80"/>
      <c r="E4" s="80"/>
      <c r="F4" s="80"/>
      <c r="G4" s="80"/>
      <c r="H4" s="80"/>
      <c r="I4" s="80"/>
    </row>
    <row r="5" spans="2:9" x14ac:dyDescent="0.2">
      <c r="B5" s="80"/>
      <c r="C5" s="80"/>
      <c r="D5" s="80"/>
      <c r="E5" s="80"/>
      <c r="F5" s="80"/>
      <c r="G5" s="80"/>
      <c r="H5" s="80"/>
      <c r="I5" s="80"/>
    </row>
    <row r="6" spans="2:9" x14ac:dyDescent="0.2">
      <c r="B6" s="80"/>
      <c r="C6" s="80"/>
      <c r="D6" s="80"/>
      <c r="E6" s="80"/>
      <c r="F6" s="80"/>
      <c r="G6" s="80"/>
      <c r="H6" s="80"/>
      <c r="I6" s="80"/>
    </row>
    <row r="7" spans="2:9" x14ac:dyDescent="0.2">
      <c r="B7" s="80"/>
      <c r="C7" s="80"/>
      <c r="D7" s="80"/>
      <c r="E7" s="80"/>
      <c r="F7" s="80"/>
      <c r="G7" s="80"/>
      <c r="H7" s="80"/>
      <c r="I7" s="80"/>
    </row>
    <row r="8" spans="2:9" x14ac:dyDescent="0.2">
      <c r="B8" s="80"/>
      <c r="C8" s="80"/>
      <c r="D8" s="80"/>
      <c r="E8" s="80"/>
      <c r="F8" s="80"/>
      <c r="G8" s="80"/>
      <c r="H8" s="80"/>
      <c r="I8" s="80"/>
    </row>
    <row r="9" spans="2:9" x14ac:dyDescent="0.2">
      <c r="B9" s="80"/>
      <c r="C9" s="80"/>
      <c r="D9" s="80"/>
      <c r="E9" s="80"/>
      <c r="F9" s="80"/>
      <c r="G9" s="80"/>
      <c r="H9" s="80"/>
      <c r="I9" s="80"/>
    </row>
    <row r="10" spans="2:9" x14ac:dyDescent="0.2">
      <c r="B10" s="80"/>
      <c r="C10" s="80"/>
      <c r="D10" s="80"/>
      <c r="E10" s="80"/>
      <c r="F10" s="80"/>
      <c r="G10" s="80"/>
      <c r="H10" s="80"/>
      <c r="I10" s="80"/>
    </row>
    <row r="11" spans="2:9" x14ac:dyDescent="0.2">
      <c r="B11" s="80"/>
      <c r="C11" s="80"/>
      <c r="D11" s="80"/>
      <c r="E11" s="80"/>
      <c r="F11" s="80"/>
      <c r="G11" s="80"/>
      <c r="H11" s="80"/>
      <c r="I11" s="80"/>
    </row>
    <row r="12" spans="2:9" x14ac:dyDescent="0.2">
      <c r="B12" s="80"/>
      <c r="C12" s="80"/>
      <c r="D12" s="80"/>
      <c r="E12" s="80"/>
      <c r="F12" s="80"/>
      <c r="G12" s="80"/>
      <c r="H12" s="80"/>
      <c r="I12" s="80"/>
    </row>
    <row r="13" spans="2:9" x14ac:dyDescent="0.2">
      <c r="B13" s="80"/>
      <c r="C13" s="80"/>
      <c r="D13" s="80"/>
      <c r="E13" s="80"/>
      <c r="F13" s="80"/>
      <c r="G13" s="80"/>
      <c r="H13" s="80"/>
      <c r="I13" s="80"/>
    </row>
    <row r="14" spans="2:9" x14ac:dyDescent="0.2">
      <c r="B14" s="80"/>
      <c r="C14" s="80"/>
      <c r="D14" s="80"/>
      <c r="E14" s="80"/>
      <c r="F14" s="80"/>
      <c r="G14" s="80"/>
      <c r="H14" s="80"/>
      <c r="I14" s="80"/>
    </row>
    <row r="15" spans="2:9" x14ac:dyDescent="0.2">
      <c r="B15" s="80"/>
      <c r="C15" s="80"/>
      <c r="D15" s="80"/>
      <c r="E15" s="80"/>
      <c r="F15" s="80"/>
      <c r="G15" s="80"/>
      <c r="H15" s="80"/>
      <c r="I15" s="80"/>
    </row>
    <row r="16" spans="2:9" x14ac:dyDescent="0.2">
      <c r="B16" s="80"/>
      <c r="C16" s="80"/>
      <c r="D16" s="80"/>
      <c r="E16" s="80"/>
      <c r="F16" s="80"/>
      <c r="G16" s="80"/>
      <c r="H16" s="80"/>
      <c r="I16" s="80"/>
    </row>
    <row r="17" spans="2:9" x14ac:dyDescent="0.2">
      <c r="B17" s="80"/>
      <c r="C17" s="80"/>
      <c r="D17" s="80"/>
      <c r="E17" s="80"/>
      <c r="F17" s="80"/>
      <c r="G17" s="80"/>
      <c r="H17" s="80"/>
      <c r="I17" s="80"/>
    </row>
    <row r="18" spans="2:9" x14ac:dyDescent="0.2">
      <c r="B18" s="80"/>
      <c r="C18" s="80"/>
      <c r="D18" s="80"/>
      <c r="E18" s="80"/>
      <c r="F18" s="80"/>
      <c r="G18" s="80"/>
      <c r="H18" s="80"/>
      <c r="I18" s="80"/>
    </row>
    <row r="19" spans="2:9" x14ac:dyDescent="0.2">
      <c r="B19" s="80"/>
      <c r="C19" s="80"/>
      <c r="D19" s="80"/>
      <c r="E19" s="80"/>
      <c r="F19" s="80"/>
      <c r="G19" s="80"/>
      <c r="H19" s="80"/>
      <c r="I19" s="80"/>
    </row>
  </sheetData>
  <pageMargins left="0.33" right="0.37" top="0.74803149606299213" bottom="0.74803149606299213" header="0.31496062992125984" footer="0.31496062992125984"/>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1f0de35-1437-4539-8539-632ee4ed0d3b">
      <Terms xmlns="http://schemas.microsoft.com/office/infopath/2007/PartnerControls"/>
    </lcf76f155ced4ddcb4097134ff3c332f>
    <TaxCatchAll xmlns="1d36ff73-39f8-44c4-a830-f302c958cef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28654D32F41C0C4BBBB136A0AB5ED2EB" ma:contentTypeVersion="15" ma:contentTypeDescription="Crear nuevo documento." ma:contentTypeScope="" ma:versionID="9b6ed3f861c22a70d5aa872d410f4035">
  <xsd:schema xmlns:xsd="http://www.w3.org/2001/XMLSchema" xmlns:xs="http://www.w3.org/2001/XMLSchema" xmlns:p="http://schemas.microsoft.com/office/2006/metadata/properties" xmlns:ns2="b1f0de35-1437-4539-8539-632ee4ed0d3b" xmlns:ns3="1d36ff73-39f8-44c4-a830-f302c958ceff" targetNamespace="http://schemas.microsoft.com/office/2006/metadata/properties" ma:root="true" ma:fieldsID="51cbc3c621b14bdb2f51cbd954a13a3d" ns2:_="" ns3:_="">
    <xsd:import namespace="b1f0de35-1437-4539-8539-632ee4ed0d3b"/>
    <xsd:import namespace="1d36ff73-39f8-44c4-a830-f302c958cef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f0de35-1437-4539-8539-632ee4ed0d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366ef7a2-f758-4654-9df8-524f0b58b472"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d36ff73-39f8-44c4-a830-f302c958ceff" elementFormDefault="qualified">
    <xsd:import namespace="http://schemas.microsoft.com/office/2006/documentManagement/types"/>
    <xsd:import namespace="http://schemas.microsoft.com/office/infopath/2007/PartnerControls"/>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3a64de04-b449-4fc7-b35b-02bfee555e7a}" ma:internalName="TaxCatchAll" ma:showField="CatchAllData" ma:web="1d36ff73-39f8-44c4-a830-f302c958ce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B9A826A-38AC-41CB-A178-3CE7A8DECAE7}">
  <ds:schemaRefs>
    <ds:schemaRef ds:uri="http://schemas.microsoft.com/office/2006/metadata/properties"/>
    <ds:schemaRef ds:uri="http://schemas.microsoft.com/office/infopath/2007/PartnerControls"/>
    <ds:schemaRef ds:uri="b1f0de35-1437-4539-8539-632ee4ed0d3b"/>
    <ds:schemaRef ds:uri="1d36ff73-39f8-44c4-a830-f302c958ceff"/>
  </ds:schemaRefs>
</ds:datastoreItem>
</file>

<file path=customXml/itemProps2.xml><?xml version="1.0" encoding="utf-8"?>
<ds:datastoreItem xmlns:ds="http://schemas.openxmlformats.org/officeDocument/2006/customXml" ds:itemID="{2CCAAEDF-55EE-4875-843C-6BD402C5922E}">
  <ds:schemaRefs>
    <ds:schemaRef ds:uri="http://schemas.microsoft.com/sharepoint/v3/contenttype/forms"/>
  </ds:schemaRefs>
</ds:datastoreItem>
</file>

<file path=customXml/itemProps3.xml><?xml version="1.0" encoding="utf-8"?>
<ds:datastoreItem xmlns:ds="http://schemas.openxmlformats.org/officeDocument/2006/customXml" ds:itemID="{3D21C0CC-93D1-4366-9254-2F5A86A0F0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f0de35-1437-4539-8539-632ee4ed0d3b"/>
    <ds:schemaRef ds:uri="1d36ff73-39f8-44c4-a830-f302c958ce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Criterios</vt:lpstr>
      <vt:lpstr>Inventario de Activos</vt:lpstr>
      <vt:lpstr>Evaluación de Riesgos</vt:lpstr>
      <vt:lpstr>Plan Seguridad Información</vt:lpstr>
      <vt:lpstr>Indicadores</vt:lpstr>
      <vt:lpstr>matriz_exposicion</vt:lpstr>
      <vt:lpstr>matriz_riesgos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ricoh</dc:creator>
  <cp:lastModifiedBy>natalia.salazar</cp:lastModifiedBy>
  <cp:lastPrinted>2016-07-26T19:07:42Z</cp:lastPrinted>
  <dcterms:created xsi:type="dcterms:W3CDTF">2005-12-08T17:26:32Z</dcterms:created>
  <dcterms:modified xsi:type="dcterms:W3CDTF">2022-08-01T15:56:18Z</dcterms:modified>
</cp:coreProperties>
</file>